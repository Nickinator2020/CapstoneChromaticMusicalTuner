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anthers-my.sharepoint.com/personal/laufen39_uwm_edu/Documents/Capstone/Testing/MCU/SoftwareTesting/tables/"/>
    </mc:Choice>
  </mc:AlternateContent>
  <xr:revisionPtr revIDLastSave="1748" documentId="11_F25DC773A252ABDACC104809491F78CC5BDE58E7" xr6:coauthVersionLast="47" xr6:coauthVersionMax="47" xr10:uidLastSave="{1D7BE1E8-5305-4883-B755-05334C0392B9}"/>
  <bookViews>
    <workbookView xWindow="-108" yWindow="-108" windowWidth="23256" windowHeight="13896" activeTab="1" xr2:uid="{00000000-000D-0000-FFFF-FFFF00000000}"/>
  </bookViews>
  <sheets>
    <sheet name="Without-adjustment-multiplier" sheetId="1" r:id="rId1"/>
    <sheet name="With-adjustment-multiplier" sheetId="3" r:id="rId2"/>
    <sheet name="Piezo-Electri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8" i="3" l="1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95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4" i="3"/>
  <c r="H176" i="1"/>
  <c r="H181" i="1"/>
  <c r="H180" i="1"/>
  <c r="H179" i="1"/>
  <c r="H178" i="1"/>
  <c r="H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247" i="1"/>
  <c r="H246" i="1"/>
  <c r="H245" i="1"/>
  <c r="H244" i="1"/>
  <c r="H243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47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J180" i="3" l="1"/>
  <c r="J90" i="3"/>
  <c r="P181" i="3"/>
  <c r="J181" i="3"/>
  <c r="P89" i="3"/>
  <c r="P90" i="3"/>
  <c r="P180" i="3"/>
  <c r="J89" i="3"/>
  <c r="H42" i="1"/>
  <c r="H85" i="1"/>
  <c r="M42" i="1"/>
  <c r="M85" i="1"/>
  <c r="H41" i="1"/>
  <c r="H84" i="1"/>
  <c r="M41" i="1"/>
  <c r="M84" i="1"/>
</calcChain>
</file>

<file path=xl/sharedStrings.xml><?xml version="1.0" encoding="utf-8"?>
<sst xmlns="http://schemas.openxmlformats.org/spreadsheetml/2006/main" count="882" uniqueCount="110">
  <si>
    <t>FFT Detected Fundamental</t>
  </si>
  <si>
    <t>Sine Wave Testing For 512 Samples - 1 Vp and 1 V offset amplitude</t>
  </si>
  <si>
    <t>Square Wave Testing For 512 Samples - 1 Vp and 1 V offset amplitude</t>
  </si>
  <si>
    <t>Trial # (Out of 3)</t>
  </si>
  <si>
    <t>Trial 1</t>
  </si>
  <si>
    <t>Trial 2</t>
  </si>
  <si>
    <t>Trial 3</t>
  </si>
  <si>
    <t>FFT Detected Fundamental (Hz)</t>
  </si>
  <si>
    <t>Sine Wave Testing For 512 Samples - 1.5 Vp and 1.3 V offset amplitude</t>
  </si>
  <si>
    <t>Theoretical Frequency (Hz)</t>
  </si>
  <si>
    <t>FFT Detected Frequency  / Theoretical Frequency Ratio</t>
  </si>
  <si>
    <t>Square Wave Testing For 512 Samples - 1.5 Vp and 1.3 V offset amplitude</t>
  </si>
  <si>
    <t>32 Hz - 3000 Hz Average Ratio:</t>
  </si>
  <si>
    <t>Overall Average Ratio:</t>
  </si>
  <si>
    <t>Sine Wave Testing For 512 Samples - 1 Vp and 1 V offset amplitude - C1 - C8</t>
  </si>
  <si>
    <t>Sine Wave Testing For 512 Samples - 1.5 Vp and 1.3 V offset amplitude - C1 - C8</t>
  </si>
  <si>
    <t>Square Wave Testing For 512 Samples - 1 Vp and 1 V offset amplitude - C1 - C8</t>
  </si>
  <si>
    <t>Square Wave Testing For 512 Samples - 1.5 Vp and 1.3 V offset amplitude - C1 - C8</t>
  </si>
  <si>
    <t>Corresponding Note</t>
  </si>
  <si>
    <t>C1</t>
  </si>
  <si>
    <t>C#1</t>
  </si>
  <si>
    <t>D1</t>
  </si>
  <si>
    <t>D#1</t>
  </si>
  <si>
    <t>E1</t>
  </si>
  <si>
    <t>F1</t>
  </si>
  <si>
    <t>F#1</t>
  </si>
  <si>
    <t>G1</t>
  </si>
  <si>
    <t>G#1</t>
  </si>
  <si>
    <t>A1</t>
  </si>
  <si>
    <t>A#1</t>
  </si>
  <si>
    <t>B1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</si>
  <si>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</si>
  <si>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</si>
  <si>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</si>
  <si>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</si>
  <si>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</si>
  <si>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</si>
  <si>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</si>
  <si>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</si>
  <si>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</si>
  <si>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</si>
  <si>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</si>
  <si>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</si>
  <si>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</si>
  <si>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</si>
  <si>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</si>
  <si>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</si>
  <si>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</si>
  <si>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</si>
  <si>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</si>
  <si>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</si>
  <si>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</si>
  <si>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</si>
  <si>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</si>
  <si>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</si>
  <si>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</si>
  <si>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</si>
  <si>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</si>
  <si>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</si>
  <si>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</si>
  <si>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</si>
  <si>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</si>
  <si>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</si>
  <si>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</si>
  <si>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</si>
  <si>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</si>
  <si>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</si>
  <si>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</si>
  <si>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</si>
  <si>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</si>
  <si>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</si>
  <si>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</si>
  <si>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</si>
  <si>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</si>
  <si>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</si>
  <si>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</si>
  <si>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</si>
  <si>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</si>
  <si>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B5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</si>
  <si>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</si>
  <si>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</si>
  <si>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</si>
  <si>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</si>
  <si>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</si>
  <si>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</si>
  <si>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</si>
  <si>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</si>
  <si>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</si>
  <si>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</si>
  <si>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</si>
  <si>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B6</t>
  </si>
  <si>
    <t>C7</t>
  </si>
  <si>
    <t>C#7</t>
  </si>
  <si>
    <t>D7</t>
  </si>
  <si>
    <t>D#7</t>
  </si>
  <si>
    <t>E7</t>
  </si>
  <si>
    <t>F7</t>
  </si>
  <si>
    <t>F#7</t>
  </si>
  <si>
    <t>G7</t>
  </si>
  <si>
    <t>G#7</t>
  </si>
  <si>
    <t>A7</t>
  </si>
  <si>
    <t>A#7</t>
  </si>
  <si>
    <t>B7</t>
  </si>
  <si>
    <t>C8</t>
  </si>
  <si>
    <t>FFT Detected Note</t>
  </si>
  <si>
    <t>32 Hz - 3125 Hz Average Error:</t>
  </si>
  <si>
    <t>Overall Average Error:</t>
  </si>
  <si>
    <t>FFT Detected Frequency vs Theoretical Frequency Error</t>
  </si>
  <si>
    <t>Pitch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</si>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</sst>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0" fillId="0" borderId="1" xfId="0" applyBorder="1"/>
    <xf numFmtId="0" fontId="0" fillId="0" borderId="12" xfId="0" applyBorder="1"/>
    <xf numFmtId="0" fontId="0" fillId="0" borderId="5" xfId="0" applyBorder="1"/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0" fontId="0" fillId="0" borderId="13" xfId="1" applyNumberFormat="1" applyFont="1" applyBorder="1" applyAlignment="1">
      <alignment horizontal="left"/>
    </xf>
    <xf numFmtId="10" fontId="0" fillId="0" borderId="3" xfId="1" applyNumberFormat="1" applyFont="1" applyBorder="1" applyAlignment="1">
      <alignment horizontal="left"/>
    </xf>
    <xf numFmtId="10" fontId="0" fillId="0" borderId="9" xfId="1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0" fontId="0" fillId="0" borderId="0" xfId="1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14" xfId="1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10" fontId="0" fillId="0" borderId="26" xfId="1" applyNumberFormat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5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M247"/>
  <sheetViews>
    <sheetView topLeftCell="A18" zoomScaleNormal="100" workbookViewId="0">
      <selection activeCell="G44" sqref="G44"/>
    </sheetView>
  </sheetViews>
  <sheetFormatPr defaultRowHeight="14.4" x14ac:dyDescent="0.3"/>
  <cols>
    <col min="6" max="6" width="22.77734375" style="10" customWidth="1"/>
    <col min="7" max="7" width="28.33203125" customWidth="1"/>
    <col min="8" max="8" width="46.6640625" customWidth="1"/>
    <col min="10" max="11" width="22.77734375" customWidth="1"/>
    <col min="12" max="12" width="28.5546875" style="10" customWidth="1"/>
    <col min="13" max="13" width="46.6640625" customWidth="1"/>
  </cols>
  <sheetData>
    <row r="2" spans="6:13" ht="15" thickBot="1" x14ac:dyDescent="0.35"/>
    <row r="3" spans="6:13" ht="15" thickBot="1" x14ac:dyDescent="0.35">
      <c r="F3" s="32" t="s">
        <v>1</v>
      </c>
      <c r="G3" s="34"/>
      <c r="H3" s="36"/>
      <c r="J3" s="32" t="s">
        <v>2</v>
      </c>
      <c r="K3" s="33"/>
      <c r="L3" s="34"/>
      <c r="M3" s="36"/>
    </row>
    <row r="4" spans="6:13" ht="15" thickBot="1" x14ac:dyDescent="0.35">
      <c r="F4" s="11" t="s">
        <v>9</v>
      </c>
      <c r="G4" s="1" t="s">
        <v>7</v>
      </c>
      <c r="H4" s="2" t="s">
        <v>10</v>
      </c>
      <c r="J4" s="11" t="s">
        <v>9</v>
      </c>
      <c r="K4" s="3" t="s">
        <v>3</v>
      </c>
      <c r="L4" s="18" t="s">
        <v>0</v>
      </c>
      <c r="M4" s="2" t="s">
        <v>10</v>
      </c>
    </row>
    <row r="5" spans="6:13" ht="15" thickBot="1" x14ac:dyDescent="0.35">
      <c r="F5" s="12">
        <v>32</v>
      </c>
      <c r="G5" s="7">
        <v>42.348610000000001</v>
      </c>
      <c r="H5" s="15">
        <f t="shared" ref="H5:H40" si="0">(F5/G5)</f>
        <v>0.75563282950727306</v>
      </c>
      <c r="J5" s="12">
        <v>32</v>
      </c>
      <c r="K5" s="5" t="s">
        <v>4</v>
      </c>
      <c r="L5" s="8">
        <v>42.236618999999997</v>
      </c>
      <c r="M5" s="16">
        <f>J5/L5</f>
        <v>0.75763640077346162</v>
      </c>
    </row>
    <row r="6" spans="6:13" ht="15" thickBot="1" x14ac:dyDescent="0.35">
      <c r="F6" s="13">
        <v>32</v>
      </c>
      <c r="G6" s="8">
        <v>42.434736000000001</v>
      </c>
      <c r="H6" s="15">
        <f t="shared" si="0"/>
        <v>0.75409918892861738</v>
      </c>
      <c r="J6" s="13">
        <v>32</v>
      </c>
      <c r="K6" s="4" t="s">
        <v>5</v>
      </c>
      <c r="L6" s="8">
        <v>41.916046000000001</v>
      </c>
      <c r="M6" s="16">
        <f t="shared" ref="M6:M40" si="1">J6/L6</f>
        <v>0.76343078734096248</v>
      </c>
    </row>
    <row r="7" spans="6:13" ht="15" thickBot="1" x14ac:dyDescent="0.35">
      <c r="F7" s="13">
        <v>32</v>
      </c>
      <c r="G7" s="8">
        <v>42.449140999999997</v>
      </c>
      <c r="H7" s="15">
        <f t="shared" si="0"/>
        <v>0.75384328742953832</v>
      </c>
      <c r="J7" s="13">
        <v>32</v>
      </c>
      <c r="K7" s="4" t="s">
        <v>6</v>
      </c>
      <c r="L7" s="8">
        <v>42.686748999999999</v>
      </c>
      <c r="M7" s="16">
        <f t="shared" si="1"/>
        <v>0.74964715631073242</v>
      </c>
    </row>
    <row r="8" spans="6:13" ht="15" thickBot="1" x14ac:dyDescent="0.35">
      <c r="F8" s="13">
        <v>64</v>
      </c>
      <c r="G8" s="8">
        <v>83.256788</v>
      </c>
      <c r="H8" s="15">
        <f t="shared" si="0"/>
        <v>0.76870609036707016</v>
      </c>
      <c r="J8" s="13">
        <v>64</v>
      </c>
      <c r="K8" s="4" t="s">
        <v>4</v>
      </c>
      <c r="L8" s="8">
        <v>83.269952000000004</v>
      </c>
      <c r="M8" s="16">
        <f t="shared" si="1"/>
        <v>0.76858456697561206</v>
      </c>
    </row>
    <row r="9" spans="6:13" ht="15" thickBot="1" x14ac:dyDescent="0.35">
      <c r="F9" s="13">
        <v>64</v>
      </c>
      <c r="G9" s="8">
        <v>83.256060000000005</v>
      </c>
      <c r="H9" s="15">
        <f t="shared" si="0"/>
        <v>0.76871281201632646</v>
      </c>
      <c r="J9" s="13">
        <v>64</v>
      </c>
      <c r="K9" s="4" t="s">
        <v>5</v>
      </c>
      <c r="L9" s="8">
        <v>83.180453</v>
      </c>
      <c r="M9" s="16">
        <f t="shared" si="1"/>
        <v>0.76941153470275037</v>
      </c>
    </row>
    <row r="10" spans="6:13" ht="15" thickBot="1" x14ac:dyDescent="0.35">
      <c r="F10" s="13">
        <v>64</v>
      </c>
      <c r="G10" s="8">
        <v>83.259332000000001</v>
      </c>
      <c r="H10" s="15">
        <f t="shared" si="0"/>
        <v>0.76868260244989717</v>
      </c>
      <c r="J10" s="13">
        <v>64</v>
      </c>
      <c r="K10" s="4" t="s">
        <v>6</v>
      </c>
      <c r="L10" s="8">
        <v>83.271139000000005</v>
      </c>
      <c r="M10" s="16">
        <f t="shared" si="1"/>
        <v>0.76857361108030475</v>
      </c>
    </row>
    <row r="11" spans="6:13" ht="15" thickBot="1" x14ac:dyDescent="0.35">
      <c r="F11" s="13">
        <v>128</v>
      </c>
      <c r="G11" s="8">
        <v>166.58269000000001</v>
      </c>
      <c r="H11" s="15">
        <f t="shared" si="0"/>
        <v>0.76838715955421288</v>
      </c>
      <c r="J11" s="13">
        <v>128</v>
      </c>
      <c r="K11" s="4" t="s">
        <v>4</v>
      </c>
      <c r="L11" s="8">
        <v>166.619766</v>
      </c>
      <c r="M11" s="16">
        <f t="shared" si="1"/>
        <v>0.76821617910566509</v>
      </c>
    </row>
    <row r="12" spans="6:13" ht="15" thickBot="1" x14ac:dyDescent="0.35">
      <c r="F12" s="13">
        <v>128</v>
      </c>
      <c r="G12" s="8">
        <v>166.59668300000001</v>
      </c>
      <c r="H12" s="15">
        <f t="shared" si="0"/>
        <v>0.76832262020486919</v>
      </c>
      <c r="J12" s="13">
        <v>128</v>
      </c>
      <c r="K12" s="4" t="s">
        <v>5</v>
      </c>
      <c r="L12" s="8">
        <v>166.64957999999999</v>
      </c>
      <c r="M12" s="16">
        <f t="shared" si="1"/>
        <v>0.76807874343277682</v>
      </c>
    </row>
    <row r="13" spans="6:13" ht="15" thickBot="1" x14ac:dyDescent="0.35">
      <c r="F13" s="13">
        <v>128</v>
      </c>
      <c r="G13" s="8">
        <v>166.59550300000001</v>
      </c>
      <c r="H13" s="15">
        <f t="shared" si="0"/>
        <v>0.76832806225267669</v>
      </c>
      <c r="J13" s="13">
        <v>128</v>
      </c>
      <c r="K13" s="4" t="s">
        <v>6</v>
      </c>
      <c r="L13" s="8">
        <v>166.602835</v>
      </c>
      <c r="M13" s="16">
        <f t="shared" si="1"/>
        <v>0.76829424901443</v>
      </c>
    </row>
    <row r="14" spans="6:13" ht="15" thickBot="1" x14ac:dyDescent="0.35">
      <c r="F14" s="13">
        <v>256</v>
      </c>
      <c r="G14" s="8">
        <v>333.894946</v>
      </c>
      <c r="H14" s="15">
        <f t="shared" si="0"/>
        <v>0.76670822085459178</v>
      </c>
      <c r="J14" s="13">
        <v>256</v>
      </c>
      <c r="K14" s="4" t="s">
        <v>4</v>
      </c>
      <c r="L14" s="8">
        <v>333.97046</v>
      </c>
      <c r="M14" s="16">
        <f t="shared" si="1"/>
        <v>0.7665348605981499</v>
      </c>
    </row>
    <row r="15" spans="6:13" ht="15" thickBot="1" x14ac:dyDescent="0.35">
      <c r="F15" s="13">
        <v>256</v>
      </c>
      <c r="G15" s="8">
        <v>333.86903100000001</v>
      </c>
      <c r="H15" s="15">
        <f t="shared" si="0"/>
        <v>0.76676773294376022</v>
      </c>
      <c r="J15" s="13">
        <v>256</v>
      </c>
      <c r="K15" s="4" t="s">
        <v>5</v>
      </c>
      <c r="L15" s="8">
        <v>333.92530299999999</v>
      </c>
      <c r="M15" s="16">
        <f t="shared" si="1"/>
        <v>0.76663851975302399</v>
      </c>
    </row>
    <row r="16" spans="6:13" ht="15" thickBot="1" x14ac:dyDescent="0.35">
      <c r="F16" s="13">
        <v>256</v>
      </c>
      <c r="G16" s="8">
        <v>333.91515700000002</v>
      </c>
      <c r="H16" s="15">
        <f t="shared" si="0"/>
        <v>0.76666181403679134</v>
      </c>
      <c r="J16" s="13">
        <v>256</v>
      </c>
      <c r="K16" s="4" t="s">
        <v>6</v>
      </c>
      <c r="L16" s="8">
        <v>333.86657400000001</v>
      </c>
      <c r="M16" s="16">
        <f t="shared" si="1"/>
        <v>0.76677337576177962</v>
      </c>
    </row>
    <row r="17" spans="6:13" ht="15" thickBot="1" x14ac:dyDescent="0.35">
      <c r="F17" s="13">
        <v>512</v>
      </c>
      <c r="G17" s="8">
        <v>670.86446899999999</v>
      </c>
      <c r="H17" s="15">
        <f t="shared" si="0"/>
        <v>0.76319439120571464</v>
      </c>
      <c r="J17" s="13">
        <v>512</v>
      </c>
      <c r="K17" s="4" t="s">
        <v>4</v>
      </c>
      <c r="L17" s="8">
        <v>670.70414800000003</v>
      </c>
      <c r="M17" s="16">
        <f t="shared" si="1"/>
        <v>0.76337682050536537</v>
      </c>
    </row>
    <row r="18" spans="6:13" ht="15" thickBot="1" x14ac:dyDescent="0.35">
      <c r="F18" s="13">
        <v>512</v>
      </c>
      <c r="G18" s="8">
        <v>670.88230399999998</v>
      </c>
      <c r="H18" s="15">
        <f t="shared" si="0"/>
        <v>0.76317410214474823</v>
      </c>
      <c r="J18" s="13">
        <v>512</v>
      </c>
      <c r="K18" s="4" t="s">
        <v>5</v>
      </c>
      <c r="L18" s="8">
        <v>670.95965999999999</v>
      </c>
      <c r="M18" s="16">
        <f t="shared" si="1"/>
        <v>0.76308611459592068</v>
      </c>
    </row>
    <row r="19" spans="6:13" ht="15" thickBot="1" x14ac:dyDescent="0.35">
      <c r="F19" s="13">
        <v>512</v>
      </c>
      <c r="G19" s="8">
        <v>670.88662899999997</v>
      </c>
      <c r="H19" s="15">
        <f t="shared" si="0"/>
        <v>0.76316918219575969</v>
      </c>
      <c r="J19" s="13">
        <v>512</v>
      </c>
      <c r="K19" s="4" t="s">
        <v>6</v>
      </c>
      <c r="L19" s="8">
        <v>670.85478799999999</v>
      </c>
      <c r="M19" s="16">
        <f t="shared" si="1"/>
        <v>0.76320540474401444</v>
      </c>
    </row>
    <row r="20" spans="6:13" ht="15" thickBot="1" x14ac:dyDescent="0.35">
      <c r="F20" s="13">
        <v>1024</v>
      </c>
      <c r="G20" s="8">
        <v>1339.630674</v>
      </c>
      <c r="H20" s="15">
        <f t="shared" si="0"/>
        <v>0.76438978285144876</v>
      </c>
      <c r="J20" s="13">
        <v>1024</v>
      </c>
      <c r="K20" s="4" t="s">
        <v>4</v>
      </c>
      <c r="L20" s="8">
        <v>1339.3619369999999</v>
      </c>
      <c r="M20" s="16">
        <f t="shared" si="1"/>
        <v>0.76454315425271047</v>
      </c>
    </row>
    <row r="21" spans="6:13" ht="15" thickBot="1" x14ac:dyDescent="0.35">
      <c r="F21" s="13">
        <v>1024</v>
      </c>
      <c r="G21" s="8">
        <v>1339.626775</v>
      </c>
      <c r="H21" s="15">
        <f t="shared" si="0"/>
        <v>0.76439200761719628</v>
      </c>
      <c r="J21" s="13">
        <v>1024</v>
      </c>
      <c r="K21" s="4" t="s">
        <v>5</v>
      </c>
      <c r="L21" s="8">
        <v>1339.509865</v>
      </c>
      <c r="M21" s="16">
        <f t="shared" si="1"/>
        <v>0.76445872237006629</v>
      </c>
    </row>
    <row r="22" spans="6:13" ht="15" thickBot="1" x14ac:dyDescent="0.35">
      <c r="F22" s="13">
        <v>1024</v>
      </c>
      <c r="G22" s="8">
        <v>1339.554787</v>
      </c>
      <c r="H22" s="15">
        <f t="shared" si="0"/>
        <v>0.76443308622956674</v>
      </c>
      <c r="J22" s="13">
        <v>1024</v>
      </c>
      <c r="K22" s="4" t="s">
        <v>6</v>
      </c>
      <c r="L22" s="8">
        <v>1339.5170949999999</v>
      </c>
      <c r="M22" s="16">
        <f t="shared" si="1"/>
        <v>0.76445459622894929</v>
      </c>
    </row>
    <row r="23" spans="6:13" ht="15" thickBot="1" x14ac:dyDescent="0.35">
      <c r="F23" s="13">
        <v>2048</v>
      </c>
      <c r="G23" s="8">
        <v>2679.3215719999998</v>
      </c>
      <c r="H23" s="15">
        <f t="shared" si="0"/>
        <v>0.76437260140866736</v>
      </c>
      <c r="J23" s="13">
        <v>2048</v>
      </c>
      <c r="K23" s="4" t="s">
        <v>4</v>
      </c>
      <c r="L23" s="8">
        <v>2678.9594050000001</v>
      </c>
      <c r="M23" s="16">
        <f t="shared" si="1"/>
        <v>0.76447593650639878</v>
      </c>
    </row>
    <row r="24" spans="6:13" ht="15" thickBot="1" x14ac:dyDescent="0.35">
      <c r="F24" s="13">
        <v>2048</v>
      </c>
      <c r="G24" s="8">
        <v>2679.335474</v>
      </c>
      <c r="H24" s="15">
        <f t="shared" si="0"/>
        <v>0.76436863538499922</v>
      </c>
      <c r="J24" s="13">
        <v>2048</v>
      </c>
      <c r="K24" s="4" t="s">
        <v>5</v>
      </c>
      <c r="L24" s="8">
        <v>2679.029618</v>
      </c>
      <c r="M24" s="16">
        <f t="shared" si="1"/>
        <v>0.76445590083804738</v>
      </c>
    </row>
    <row r="25" spans="6:13" ht="15" thickBot="1" x14ac:dyDescent="0.35">
      <c r="F25" s="13">
        <v>2048</v>
      </c>
      <c r="G25" s="8">
        <v>2679.3624909999999</v>
      </c>
      <c r="H25" s="15">
        <f t="shared" si="0"/>
        <v>0.76436092797419108</v>
      </c>
      <c r="J25" s="13">
        <v>2048</v>
      </c>
      <c r="K25" s="4" t="s">
        <v>6</v>
      </c>
      <c r="L25" s="8">
        <v>2678.8452400000001</v>
      </c>
      <c r="M25" s="16">
        <f t="shared" si="1"/>
        <v>0.76450851636356565</v>
      </c>
    </row>
    <row r="26" spans="6:13" ht="15" thickBot="1" x14ac:dyDescent="0.35">
      <c r="F26" s="13">
        <v>3000</v>
      </c>
      <c r="G26" s="8">
        <v>3925.7381</v>
      </c>
      <c r="H26" s="15">
        <f t="shared" si="0"/>
        <v>0.76418750400084001</v>
      </c>
      <c r="J26" s="13">
        <v>3000</v>
      </c>
      <c r="K26" s="4" t="s">
        <v>4</v>
      </c>
      <c r="L26" s="8">
        <v>3925.8047419999998</v>
      </c>
      <c r="M26" s="16">
        <f t="shared" si="1"/>
        <v>0.76417453163288274</v>
      </c>
    </row>
    <row r="27" spans="6:13" ht="15" thickBot="1" x14ac:dyDescent="0.35">
      <c r="F27" s="13">
        <v>3000</v>
      </c>
      <c r="G27" s="8">
        <v>3925.7312750000001</v>
      </c>
      <c r="H27" s="15">
        <f t="shared" si="0"/>
        <v>0.76418883256343106</v>
      </c>
      <c r="J27" s="13">
        <v>3000</v>
      </c>
      <c r="K27" s="4" t="s">
        <v>5</v>
      </c>
      <c r="L27" s="8">
        <v>3925.6378679999998</v>
      </c>
      <c r="M27" s="16">
        <f t="shared" si="1"/>
        <v>0.76420701574503969</v>
      </c>
    </row>
    <row r="28" spans="6:13" ht="15" thickBot="1" x14ac:dyDescent="0.35">
      <c r="F28" s="13">
        <v>3000</v>
      </c>
      <c r="G28" s="8">
        <v>3925.8234470000002</v>
      </c>
      <c r="H28" s="15">
        <f t="shared" si="0"/>
        <v>0.76417089064270394</v>
      </c>
      <c r="J28" s="13">
        <v>3000</v>
      </c>
      <c r="K28" s="4" t="s">
        <v>6</v>
      </c>
      <c r="L28" s="8">
        <v>3925.6978009999998</v>
      </c>
      <c r="M28" s="16">
        <f t="shared" si="1"/>
        <v>0.76419534871884554</v>
      </c>
    </row>
    <row r="29" spans="6:13" ht="15" thickBot="1" x14ac:dyDescent="0.35">
      <c r="F29" s="13">
        <v>3500</v>
      </c>
      <c r="G29" s="8">
        <v>3836.8948650000002</v>
      </c>
      <c r="H29" s="15">
        <f t="shared" si="0"/>
        <v>0.91219596135585013</v>
      </c>
      <c r="J29" s="13">
        <v>3500</v>
      </c>
      <c r="K29" s="4" t="s">
        <v>4</v>
      </c>
      <c r="L29" s="8">
        <v>3837.0403040000001</v>
      </c>
      <c r="M29" s="16">
        <f t="shared" si="1"/>
        <v>0.91216138552189674</v>
      </c>
    </row>
    <row r="30" spans="6:13" ht="15" thickBot="1" x14ac:dyDescent="0.35">
      <c r="F30" s="13">
        <v>3500</v>
      </c>
      <c r="G30" s="8">
        <v>3837.061573</v>
      </c>
      <c r="H30" s="15">
        <f t="shared" si="0"/>
        <v>0.91215632937147029</v>
      </c>
      <c r="J30" s="13">
        <v>3500</v>
      </c>
      <c r="K30" s="4" t="s">
        <v>5</v>
      </c>
      <c r="L30" s="8">
        <v>3837.2292550000002</v>
      </c>
      <c r="M30" s="16">
        <f t="shared" si="1"/>
        <v>0.91211646930905088</v>
      </c>
    </row>
    <row r="31" spans="6:13" ht="15" thickBot="1" x14ac:dyDescent="0.35">
      <c r="F31" s="13">
        <v>3500</v>
      </c>
      <c r="G31" s="8">
        <v>3836.9269749999999</v>
      </c>
      <c r="H31" s="15">
        <f t="shared" si="0"/>
        <v>0.91218832748308953</v>
      </c>
      <c r="J31" s="13">
        <v>3500</v>
      </c>
      <c r="K31" s="4" t="s">
        <v>6</v>
      </c>
      <c r="L31" s="8">
        <v>3837.0876290000001</v>
      </c>
      <c r="M31" s="16">
        <f t="shared" si="1"/>
        <v>0.91215013531295086</v>
      </c>
    </row>
    <row r="32" spans="6:13" ht="15" thickBot="1" x14ac:dyDescent="0.35">
      <c r="F32" s="13">
        <v>3750</v>
      </c>
      <c r="G32" s="8">
        <v>3511.183106</v>
      </c>
      <c r="H32" s="15">
        <f t="shared" si="0"/>
        <v>1.0680160751491152</v>
      </c>
      <c r="J32" s="13">
        <v>3750</v>
      </c>
      <c r="K32" s="4" t="s">
        <v>4</v>
      </c>
      <c r="L32" s="8">
        <v>3511.230818</v>
      </c>
      <c r="M32" s="16">
        <f t="shared" si="1"/>
        <v>1.0680015625221708</v>
      </c>
    </row>
    <row r="33" spans="6:13" ht="15" thickBot="1" x14ac:dyDescent="0.35">
      <c r="F33" s="13">
        <v>3750</v>
      </c>
      <c r="G33" s="8">
        <v>3510.9930319999999</v>
      </c>
      <c r="H33" s="15">
        <f t="shared" si="0"/>
        <v>1.0680738941438037</v>
      </c>
      <c r="J33" s="13">
        <v>3750</v>
      </c>
      <c r="K33" s="4" t="s">
        <v>5</v>
      </c>
      <c r="L33" s="8">
        <v>3510.905182</v>
      </c>
      <c r="M33" s="16">
        <f t="shared" si="1"/>
        <v>1.0681006195284941</v>
      </c>
    </row>
    <row r="34" spans="6:13" ht="15" thickBot="1" x14ac:dyDescent="0.35">
      <c r="F34" s="13">
        <v>3750</v>
      </c>
      <c r="G34" s="8">
        <v>3511.3332449999998</v>
      </c>
      <c r="H34" s="15">
        <f t="shared" si="0"/>
        <v>1.0679704084879589</v>
      </c>
      <c r="J34" s="13">
        <v>3750</v>
      </c>
      <c r="K34" s="4" t="s">
        <v>6</v>
      </c>
      <c r="L34" s="8">
        <v>3510.748591</v>
      </c>
      <c r="M34" s="16">
        <f t="shared" si="1"/>
        <v>1.0681482603491843</v>
      </c>
    </row>
    <row r="35" spans="6:13" ht="15" thickBot="1" x14ac:dyDescent="0.35">
      <c r="F35" s="13">
        <v>4096</v>
      </c>
      <c r="G35" s="8">
        <v>3057.766627</v>
      </c>
      <c r="H35" s="15">
        <f t="shared" si="0"/>
        <v>1.3395397686116481</v>
      </c>
      <c r="J35" s="13">
        <v>4096</v>
      </c>
      <c r="K35" s="4" t="s">
        <v>4</v>
      </c>
      <c r="L35" s="8">
        <v>3057.8396050000001</v>
      </c>
      <c r="M35" s="16">
        <f t="shared" si="1"/>
        <v>1.3395077993307631</v>
      </c>
    </row>
    <row r="36" spans="6:13" ht="15" thickBot="1" x14ac:dyDescent="0.35">
      <c r="F36" s="13">
        <v>4096</v>
      </c>
      <c r="G36" s="8">
        <v>3057.6978680000002</v>
      </c>
      <c r="H36" s="15">
        <f t="shared" si="0"/>
        <v>1.3395698910825156</v>
      </c>
      <c r="J36" s="13">
        <v>4096</v>
      </c>
      <c r="K36" s="4" t="s">
        <v>5</v>
      </c>
      <c r="L36" s="8">
        <v>3057.8804239999999</v>
      </c>
      <c r="M36" s="16">
        <f t="shared" si="1"/>
        <v>1.3394899185240345</v>
      </c>
    </row>
    <row r="37" spans="6:13" ht="15" thickBot="1" x14ac:dyDescent="0.35">
      <c r="F37" s="13">
        <v>4096</v>
      </c>
      <c r="G37" s="8">
        <v>3057.6786430000002</v>
      </c>
      <c r="H37" s="15">
        <f t="shared" si="0"/>
        <v>1.3395783135605333</v>
      </c>
      <c r="J37" s="13">
        <v>4096</v>
      </c>
      <c r="K37" s="4" t="s">
        <v>6</v>
      </c>
      <c r="L37" s="8">
        <v>3057.802717</v>
      </c>
      <c r="M37" s="16">
        <f t="shared" si="1"/>
        <v>1.339523958569365</v>
      </c>
    </row>
    <row r="38" spans="6:13" ht="15" thickBot="1" x14ac:dyDescent="0.35">
      <c r="F38" s="13">
        <v>4200</v>
      </c>
      <c r="G38" s="8">
        <v>2922.7974810000001</v>
      </c>
      <c r="H38" s="15">
        <f t="shared" si="0"/>
        <v>1.436979478497094</v>
      </c>
      <c r="J38" s="13">
        <v>4200</v>
      </c>
      <c r="K38" s="4" t="s">
        <v>4</v>
      </c>
      <c r="L38" s="8">
        <v>2922.9345990000002</v>
      </c>
      <c r="M38" s="16">
        <f t="shared" si="1"/>
        <v>1.4369120682470664</v>
      </c>
    </row>
    <row r="39" spans="6:13" ht="15" thickBot="1" x14ac:dyDescent="0.35">
      <c r="F39" s="13">
        <v>4200</v>
      </c>
      <c r="G39" s="8">
        <v>2922.8268760000001</v>
      </c>
      <c r="H39" s="15">
        <f t="shared" si="0"/>
        <v>1.4369650267305123</v>
      </c>
      <c r="J39" s="13">
        <v>4200</v>
      </c>
      <c r="K39" s="4" t="s">
        <v>5</v>
      </c>
      <c r="L39" s="8">
        <v>2923.0815750000002</v>
      </c>
      <c r="M39" s="16">
        <f t="shared" si="1"/>
        <v>1.4368398186082096</v>
      </c>
    </row>
    <row r="40" spans="6:13" ht="15" thickBot="1" x14ac:dyDescent="0.35">
      <c r="F40" s="14">
        <v>4200</v>
      </c>
      <c r="G40" s="9">
        <v>2922.856773</v>
      </c>
      <c r="H40" s="17">
        <f t="shared" si="0"/>
        <v>1.4369503284586707</v>
      </c>
      <c r="J40" s="14">
        <v>4200</v>
      </c>
      <c r="K40" s="6" t="s">
        <v>6</v>
      </c>
      <c r="L40" s="9">
        <v>2923.016345</v>
      </c>
      <c r="M40" s="16">
        <f t="shared" si="1"/>
        <v>1.4368718831095006</v>
      </c>
    </row>
    <row r="41" spans="6:13" x14ac:dyDescent="0.3">
      <c r="G41" s="20" t="s">
        <v>12</v>
      </c>
      <c r="H41" s="19">
        <f>AVERAGE(H5:H28)</f>
        <v>0.76430226519853717</v>
      </c>
      <c r="J41" s="10"/>
      <c r="L41" s="20" t="s">
        <v>12</v>
      </c>
      <c r="M41" s="19">
        <f>AVERAGE(M5:M28)</f>
        <v>0.764623418639644</v>
      </c>
    </row>
    <row r="42" spans="6:13" x14ac:dyDescent="0.3">
      <c r="G42" s="20" t="s">
        <v>13</v>
      </c>
      <c r="H42" s="19">
        <f>AVERAGE(H5:H40)</f>
        <v>0.90592883799158741</v>
      </c>
      <c r="J42" s="10"/>
      <c r="L42" s="20" t="s">
        <v>13</v>
      </c>
      <c r="M42" s="19">
        <f>AVERAGE(M5:M40)</f>
        <v>0.90613294239678188</v>
      </c>
    </row>
    <row r="43" spans="6:13" x14ac:dyDescent="0.3">
      <c r="G43" s="10"/>
      <c r="H43" s="19"/>
      <c r="J43" s="10"/>
      <c r="M43" s="19"/>
    </row>
    <row r="44" spans="6:13" ht="15" thickBot="1" x14ac:dyDescent="0.35"/>
    <row r="45" spans="6:13" ht="15" thickBot="1" x14ac:dyDescent="0.35">
      <c r="F45" s="32" t="s">
        <v>8</v>
      </c>
      <c r="G45" s="34"/>
      <c r="H45" s="36"/>
      <c r="J45" s="32" t="s">
        <v>11</v>
      </c>
      <c r="K45" s="33"/>
      <c r="L45" s="34"/>
      <c r="M45" s="36"/>
    </row>
    <row r="46" spans="6:13" ht="15" thickBot="1" x14ac:dyDescent="0.35">
      <c r="F46" s="11" t="s">
        <v>9</v>
      </c>
      <c r="G46" s="1" t="s">
        <v>7</v>
      </c>
      <c r="H46" s="2" t="s">
        <v>10</v>
      </c>
      <c r="J46" s="11" t="s">
        <v>9</v>
      </c>
      <c r="K46" s="3" t="s">
        <v>3</v>
      </c>
      <c r="L46" s="18" t="s">
        <v>7</v>
      </c>
      <c r="M46" s="2" t="s">
        <v>10</v>
      </c>
    </row>
    <row r="47" spans="6:13" ht="15" thickBot="1" x14ac:dyDescent="0.35">
      <c r="F47" s="12">
        <v>32</v>
      </c>
      <c r="G47" s="7">
        <v>42.604630999999998</v>
      </c>
      <c r="H47" s="15">
        <f t="shared" ref="H47:H82" si="2">(F47/G47)</f>
        <v>0.75109205851354521</v>
      </c>
      <c r="J47" s="12">
        <v>32</v>
      </c>
      <c r="K47" s="5" t="s">
        <v>4</v>
      </c>
      <c r="L47" s="7">
        <v>42.681941000000002</v>
      </c>
      <c r="M47" s="15">
        <f>(J47/L47)</f>
        <v>0.74973160194378219</v>
      </c>
    </row>
    <row r="48" spans="6:13" ht="15" thickBot="1" x14ac:dyDescent="0.35">
      <c r="F48" s="13">
        <v>32</v>
      </c>
      <c r="G48" s="8">
        <v>42.122686999999999</v>
      </c>
      <c r="H48" s="15">
        <f t="shared" si="2"/>
        <v>0.75968562974152154</v>
      </c>
      <c r="J48" s="13">
        <v>32</v>
      </c>
      <c r="K48" s="4" t="s">
        <v>5</v>
      </c>
      <c r="L48" s="8">
        <v>42.652208000000002</v>
      </c>
      <c r="M48" s="15">
        <f t="shared" ref="M48:M82" si="3">(J48/L48)</f>
        <v>0.75025424240639549</v>
      </c>
    </row>
    <row r="49" spans="6:13" ht="15" thickBot="1" x14ac:dyDescent="0.35">
      <c r="F49" s="13">
        <v>32</v>
      </c>
      <c r="G49" s="8">
        <v>42.517972</v>
      </c>
      <c r="H49" s="15">
        <f t="shared" si="2"/>
        <v>0.75262291437606665</v>
      </c>
      <c r="J49" s="13">
        <v>32</v>
      </c>
      <c r="K49" s="4" t="s">
        <v>6</v>
      </c>
      <c r="L49" s="8">
        <v>41.947020999999999</v>
      </c>
      <c r="M49" s="15">
        <f t="shared" si="3"/>
        <v>0.76286704602932354</v>
      </c>
    </row>
    <row r="50" spans="6:13" ht="15" thickBot="1" x14ac:dyDescent="0.35">
      <c r="F50" s="13">
        <v>64</v>
      </c>
      <c r="G50" s="8">
        <v>83.261911999999995</v>
      </c>
      <c r="H50" s="15">
        <f t="shared" si="2"/>
        <v>0.76865878362245632</v>
      </c>
      <c r="J50" s="13">
        <v>64</v>
      </c>
      <c r="K50" s="4" t="s">
        <v>4</v>
      </c>
      <c r="L50" s="8">
        <v>83.283006</v>
      </c>
      <c r="M50" s="15">
        <f t="shared" si="3"/>
        <v>0.76846409698516405</v>
      </c>
    </row>
    <row r="51" spans="6:13" ht="15" thickBot="1" x14ac:dyDescent="0.35">
      <c r="F51" s="13">
        <v>64</v>
      </c>
      <c r="G51" s="8">
        <v>83.255808999999999</v>
      </c>
      <c r="H51" s="15">
        <f t="shared" si="2"/>
        <v>0.76871512953528565</v>
      </c>
      <c r="J51" s="13">
        <v>64</v>
      </c>
      <c r="K51" s="4" t="s">
        <v>5</v>
      </c>
      <c r="L51" s="8">
        <v>83.277117000000004</v>
      </c>
      <c r="M51" s="15">
        <f t="shared" si="3"/>
        <v>0.76851843946518938</v>
      </c>
    </row>
    <row r="52" spans="6:13" ht="15" thickBot="1" x14ac:dyDescent="0.35">
      <c r="F52" s="13">
        <v>64</v>
      </c>
      <c r="G52" s="8">
        <v>83.258088000000001</v>
      </c>
      <c r="H52" s="15">
        <f t="shared" si="2"/>
        <v>0.76869408771433712</v>
      </c>
      <c r="J52" s="13">
        <v>64</v>
      </c>
      <c r="K52" s="4" t="s">
        <v>6</v>
      </c>
      <c r="L52" s="8">
        <v>83.257583999999994</v>
      </c>
      <c r="M52" s="15">
        <f t="shared" si="3"/>
        <v>0.76869874100598456</v>
      </c>
    </row>
    <row r="53" spans="6:13" ht="15" thickBot="1" x14ac:dyDescent="0.35">
      <c r="F53" s="13">
        <v>128</v>
      </c>
      <c r="G53" s="8">
        <v>166.57542799999999</v>
      </c>
      <c r="H53" s="15">
        <f t="shared" si="2"/>
        <v>0.76842065805768189</v>
      </c>
      <c r="J53" s="13">
        <v>128</v>
      </c>
      <c r="K53" s="4" t="s">
        <v>4</v>
      </c>
      <c r="L53" s="8">
        <v>166.62087</v>
      </c>
      <c r="M53" s="15">
        <f t="shared" si="3"/>
        <v>0.76821108904304725</v>
      </c>
    </row>
    <row r="54" spans="6:13" ht="15" thickBot="1" x14ac:dyDescent="0.35">
      <c r="F54" s="13">
        <v>128</v>
      </c>
      <c r="G54" s="8">
        <v>166.57694000000001</v>
      </c>
      <c r="H54" s="15">
        <f t="shared" si="2"/>
        <v>0.76841368319048242</v>
      </c>
      <c r="J54" s="13">
        <v>128</v>
      </c>
      <c r="K54" s="4" t="s">
        <v>5</v>
      </c>
      <c r="L54" s="8">
        <v>166.615182</v>
      </c>
      <c r="M54" s="15">
        <f t="shared" si="3"/>
        <v>0.76823731465239464</v>
      </c>
    </row>
    <row r="55" spans="6:13" ht="15" thickBot="1" x14ac:dyDescent="0.35">
      <c r="F55" s="13">
        <v>128</v>
      </c>
      <c r="G55" s="8">
        <v>166.58829499999999</v>
      </c>
      <c r="H55" s="15">
        <f t="shared" si="2"/>
        <v>0.76836130653717305</v>
      </c>
      <c r="J55" s="13">
        <v>128</v>
      </c>
      <c r="K55" s="4" t="s">
        <v>6</v>
      </c>
      <c r="L55" s="8">
        <v>166.60080199999999</v>
      </c>
      <c r="M55" s="15">
        <f t="shared" si="3"/>
        <v>0.7683036243727086</v>
      </c>
    </row>
    <row r="56" spans="6:13" ht="15" thickBot="1" x14ac:dyDescent="0.35">
      <c r="F56" s="13">
        <v>256</v>
      </c>
      <c r="G56" s="8">
        <v>333.90466600000002</v>
      </c>
      <c r="H56" s="15">
        <f t="shared" si="2"/>
        <v>0.7666859018975194</v>
      </c>
      <c r="J56" s="13">
        <v>256</v>
      </c>
      <c r="K56" s="4" t="s">
        <v>4</v>
      </c>
      <c r="L56" s="8">
        <v>333.85175199999998</v>
      </c>
      <c r="M56" s="15">
        <f t="shared" si="3"/>
        <v>0.766807418162059</v>
      </c>
    </row>
    <row r="57" spans="6:13" ht="15" thickBot="1" x14ac:dyDescent="0.35">
      <c r="F57" s="13">
        <v>256</v>
      </c>
      <c r="G57" s="8">
        <v>333.87885299999999</v>
      </c>
      <c r="H57" s="15">
        <f t="shared" si="2"/>
        <v>0.76674517628105066</v>
      </c>
      <c r="J57" s="13">
        <v>256</v>
      </c>
      <c r="K57" s="4" t="s">
        <v>5</v>
      </c>
      <c r="L57" s="8">
        <v>333.716386</v>
      </c>
      <c r="M57" s="15">
        <f t="shared" si="3"/>
        <v>0.76711845968510517</v>
      </c>
    </row>
    <row r="58" spans="6:13" ht="15" thickBot="1" x14ac:dyDescent="0.35">
      <c r="F58" s="13">
        <v>256</v>
      </c>
      <c r="G58" s="8">
        <v>333.90714500000001</v>
      </c>
      <c r="H58" s="15">
        <f t="shared" si="2"/>
        <v>0.76668020985295171</v>
      </c>
      <c r="J58" s="13">
        <v>256</v>
      </c>
      <c r="K58" s="4" t="s">
        <v>6</v>
      </c>
      <c r="L58" s="8">
        <v>333.75509699999998</v>
      </c>
      <c r="M58" s="15">
        <f t="shared" si="3"/>
        <v>0.76702948449653197</v>
      </c>
    </row>
    <row r="59" spans="6:13" ht="15" thickBot="1" x14ac:dyDescent="0.35">
      <c r="F59" s="13">
        <v>512</v>
      </c>
      <c r="G59" s="8">
        <v>670.87558999999999</v>
      </c>
      <c r="H59" s="15">
        <f t="shared" si="2"/>
        <v>0.76318173985134863</v>
      </c>
      <c r="J59" s="13">
        <v>512</v>
      </c>
      <c r="K59" s="4" t="s">
        <v>4</v>
      </c>
      <c r="L59" s="8">
        <v>670.60988199999997</v>
      </c>
      <c r="M59" s="15">
        <f t="shared" si="3"/>
        <v>0.76348412652827569</v>
      </c>
    </row>
    <row r="60" spans="6:13" ht="15" thickBot="1" x14ac:dyDescent="0.35">
      <c r="F60" s="13">
        <v>512</v>
      </c>
      <c r="G60" s="8">
        <v>670.88543000000004</v>
      </c>
      <c r="H60" s="15">
        <f t="shared" si="2"/>
        <v>0.76317054612439561</v>
      </c>
      <c r="J60" s="13">
        <v>512</v>
      </c>
      <c r="K60" s="4" t="s">
        <v>5</v>
      </c>
      <c r="L60" s="8">
        <v>670.96245299999998</v>
      </c>
      <c r="M60" s="15">
        <f t="shared" si="3"/>
        <v>0.76308293811486949</v>
      </c>
    </row>
    <row r="61" spans="6:13" ht="15" thickBot="1" x14ac:dyDescent="0.35">
      <c r="F61" s="13">
        <v>512</v>
      </c>
      <c r="G61" s="8">
        <v>670.86225300000001</v>
      </c>
      <c r="H61" s="15">
        <f t="shared" si="2"/>
        <v>0.76319691219830788</v>
      </c>
      <c r="J61" s="13">
        <v>512</v>
      </c>
      <c r="K61" s="4" t="s">
        <v>6</v>
      </c>
      <c r="L61" s="8">
        <v>670.855007</v>
      </c>
      <c r="M61" s="15">
        <f t="shared" si="3"/>
        <v>0.76320515559631208</v>
      </c>
    </row>
    <row r="62" spans="6:13" ht="15" thickBot="1" x14ac:dyDescent="0.35">
      <c r="F62" s="13">
        <v>1024</v>
      </c>
      <c r="G62" s="8">
        <v>1339.576069</v>
      </c>
      <c r="H62" s="15">
        <f t="shared" si="2"/>
        <v>0.76442094159267937</v>
      </c>
      <c r="J62" s="13">
        <v>1024</v>
      </c>
      <c r="K62" s="4" t="s">
        <v>4</v>
      </c>
      <c r="L62" s="8">
        <v>1338.5783980000001</v>
      </c>
      <c r="M62" s="15">
        <f t="shared" si="3"/>
        <v>0.76499068080732613</v>
      </c>
    </row>
    <row r="63" spans="6:13" ht="15" thickBot="1" x14ac:dyDescent="0.35">
      <c r="F63" s="13">
        <v>1024</v>
      </c>
      <c r="G63" s="8">
        <v>1339.531027</v>
      </c>
      <c r="H63" s="15">
        <f t="shared" si="2"/>
        <v>0.76444664540047269</v>
      </c>
      <c r="J63" s="13">
        <v>1024</v>
      </c>
      <c r="K63" s="4" t="s">
        <v>5</v>
      </c>
      <c r="L63" s="8">
        <v>1339.561956</v>
      </c>
      <c r="M63" s="15">
        <f t="shared" si="3"/>
        <v>0.76442899517519591</v>
      </c>
    </row>
    <row r="64" spans="6:13" ht="15" thickBot="1" x14ac:dyDescent="0.35">
      <c r="F64" s="13">
        <v>1024</v>
      </c>
      <c r="G64" s="8">
        <v>1339.5876020000001</v>
      </c>
      <c r="H64" s="15">
        <f t="shared" si="2"/>
        <v>0.76441436041298927</v>
      </c>
      <c r="J64" s="13">
        <v>1024</v>
      </c>
      <c r="K64" s="4" t="s">
        <v>6</v>
      </c>
      <c r="L64" s="8">
        <v>1338.886755</v>
      </c>
      <c r="M64" s="15">
        <f t="shared" si="3"/>
        <v>0.76481449695123771</v>
      </c>
    </row>
    <row r="65" spans="6:13" ht="15" thickBot="1" x14ac:dyDescent="0.35">
      <c r="F65" s="13">
        <v>2048</v>
      </c>
      <c r="G65" s="8">
        <v>2679.3488160000002</v>
      </c>
      <c r="H65" s="15">
        <f t="shared" si="2"/>
        <v>0.76436482915929516</v>
      </c>
      <c r="J65" s="13">
        <v>2048</v>
      </c>
      <c r="K65" s="4" t="s">
        <v>4</v>
      </c>
      <c r="L65" s="8">
        <v>2679.381159</v>
      </c>
      <c r="M65" s="15">
        <f t="shared" si="3"/>
        <v>0.76435560245723144</v>
      </c>
    </row>
    <row r="66" spans="6:13" ht="15" thickBot="1" x14ac:dyDescent="0.35">
      <c r="F66" s="13">
        <v>2048</v>
      </c>
      <c r="G66" s="8">
        <v>2679.350547</v>
      </c>
      <c r="H66" s="15">
        <f t="shared" si="2"/>
        <v>0.76436433533980574</v>
      </c>
      <c r="J66" s="13">
        <v>2048</v>
      </c>
      <c r="K66" s="4" t="s">
        <v>5</v>
      </c>
      <c r="L66" s="8">
        <v>2679.5685749999998</v>
      </c>
      <c r="M66" s="15">
        <f t="shared" si="3"/>
        <v>0.7643021414370782</v>
      </c>
    </row>
    <row r="67" spans="6:13" ht="15" thickBot="1" x14ac:dyDescent="0.35">
      <c r="F67" s="13">
        <v>2048</v>
      </c>
      <c r="G67" s="8">
        <v>2679.3397679999998</v>
      </c>
      <c r="H67" s="15">
        <f t="shared" si="2"/>
        <v>0.76436741038212375</v>
      </c>
      <c r="J67" s="13">
        <v>2048</v>
      </c>
      <c r="K67" s="4" t="s">
        <v>6</v>
      </c>
      <c r="L67" s="8">
        <v>2679.05782</v>
      </c>
      <c r="M67" s="15">
        <f t="shared" si="3"/>
        <v>0.764447853536808</v>
      </c>
    </row>
    <row r="68" spans="6:13" ht="15" thickBot="1" x14ac:dyDescent="0.35">
      <c r="F68" s="13">
        <v>3000</v>
      </c>
      <c r="G68" s="8">
        <v>3925.7178960000001</v>
      </c>
      <c r="H68" s="15">
        <f t="shared" si="2"/>
        <v>0.76419143694883573</v>
      </c>
      <c r="J68" s="13">
        <v>3000</v>
      </c>
      <c r="K68" s="4" t="s">
        <v>4</v>
      </c>
      <c r="L68" s="8">
        <v>3925.1950489999999</v>
      </c>
      <c r="M68" s="15">
        <f t="shared" si="3"/>
        <v>0.76429322939360511</v>
      </c>
    </row>
    <row r="69" spans="6:13" ht="15" thickBot="1" x14ac:dyDescent="0.35">
      <c r="F69" s="13">
        <v>3000</v>
      </c>
      <c r="G69" s="8">
        <v>3925.6629039999998</v>
      </c>
      <c r="H69" s="15">
        <f t="shared" si="2"/>
        <v>0.76420214199828307</v>
      </c>
      <c r="J69" s="13">
        <v>3000</v>
      </c>
      <c r="K69" s="4" t="s">
        <v>5</v>
      </c>
      <c r="L69" s="8">
        <v>3925.3747709999998</v>
      </c>
      <c r="M69" s="15">
        <f t="shared" si="3"/>
        <v>0.76425823647807822</v>
      </c>
    </row>
    <row r="70" spans="6:13" ht="15" thickBot="1" x14ac:dyDescent="0.35">
      <c r="F70" s="13">
        <v>3000</v>
      </c>
      <c r="G70" s="8">
        <v>3925.7151009999998</v>
      </c>
      <c r="H70" s="15">
        <f t="shared" si="2"/>
        <v>0.76419198103189101</v>
      </c>
      <c r="J70" s="13">
        <v>3000</v>
      </c>
      <c r="K70" s="4" t="s">
        <v>6</v>
      </c>
      <c r="L70" s="8">
        <v>3925.0121920000001</v>
      </c>
      <c r="M70" s="15">
        <f t="shared" si="3"/>
        <v>0.76432883600072132</v>
      </c>
    </row>
    <row r="71" spans="6:13" ht="15" thickBot="1" x14ac:dyDescent="0.35">
      <c r="F71" s="13">
        <v>3500</v>
      </c>
      <c r="G71" s="8">
        <v>3837.0713110000002</v>
      </c>
      <c r="H71" s="15">
        <f t="shared" si="2"/>
        <v>0.91215401443447397</v>
      </c>
      <c r="J71" s="13">
        <v>3500</v>
      </c>
      <c r="K71" s="4" t="s">
        <v>4</v>
      </c>
      <c r="L71" s="8">
        <v>3838.7173659999999</v>
      </c>
      <c r="M71" s="15">
        <f>(J71/L71)</f>
        <v>0.91176287970558556</v>
      </c>
    </row>
    <row r="72" spans="6:13" ht="15" thickBot="1" x14ac:dyDescent="0.35">
      <c r="F72" s="13">
        <v>3500</v>
      </c>
      <c r="G72" s="8">
        <v>3837.014044</v>
      </c>
      <c r="H72" s="15">
        <f t="shared" si="2"/>
        <v>0.91216762822982256</v>
      </c>
      <c r="J72" s="13">
        <v>3500</v>
      </c>
      <c r="K72" s="4" t="s">
        <v>5</v>
      </c>
      <c r="L72" s="8">
        <v>3838.8281510000002</v>
      </c>
      <c r="M72" s="15">
        <f>(J72/L72)</f>
        <v>0.91173656707926953</v>
      </c>
    </row>
    <row r="73" spans="6:13" ht="15" thickBot="1" x14ac:dyDescent="0.35">
      <c r="F73" s="13">
        <v>3500</v>
      </c>
      <c r="G73" s="8">
        <v>3836.9292719999999</v>
      </c>
      <c r="H73" s="15">
        <f t="shared" si="2"/>
        <v>0.91218778139624779</v>
      </c>
      <c r="J73" s="13">
        <v>3500</v>
      </c>
      <c r="K73" s="4" t="s">
        <v>6</v>
      </c>
      <c r="L73" s="8">
        <v>3838.7125030000002</v>
      </c>
      <c r="M73" s="15">
        <f t="shared" si="3"/>
        <v>0.9117640347550664</v>
      </c>
    </row>
    <row r="74" spans="6:13" ht="15" thickBot="1" x14ac:dyDescent="0.35">
      <c r="F74" s="13">
        <v>3750</v>
      </c>
      <c r="G74" s="8">
        <v>3511.2518479999999</v>
      </c>
      <c r="H74" s="15">
        <f t="shared" si="2"/>
        <v>1.0679951659223734</v>
      </c>
      <c r="J74" s="13">
        <v>3750</v>
      </c>
      <c r="K74" s="4" t="s">
        <v>4</v>
      </c>
      <c r="L74" s="8">
        <v>3512.4021039999998</v>
      </c>
      <c r="M74" s="15">
        <f t="shared" si="3"/>
        <v>1.0676454144385743</v>
      </c>
    </row>
    <row r="75" spans="6:13" ht="15" thickBot="1" x14ac:dyDescent="0.35">
      <c r="F75" s="13">
        <v>3750</v>
      </c>
      <c r="G75" s="8">
        <v>3511.1134069999998</v>
      </c>
      <c r="H75" s="15">
        <f t="shared" si="2"/>
        <v>1.0680372763020811</v>
      </c>
      <c r="J75" s="13">
        <v>3750</v>
      </c>
      <c r="K75" s="4" t="s">
        <v>5</v>
      </c>
      <c r="L75" s="8">
        <v>3512.490859</v>
      </c>
      <c r="M75" s="15">
        <f t="shared" si="3"/>
        <v>1.0676184367544854</v>
      </c>
    </row>
    <row r="76" spans="6:13" ht="15" thickBot="1" x14ac:dyDescent="0.35">
      <c r="F76" s="13">
        <v>3750</v>
      </c>
      <c r="G76" s="8">
        <v>3511.1936019999998</v>
      </c>
      <c r="H76" s="15">
        <f t="shared" si="2"/>
        <v>1.0680128825320183</v>
      </c>
      <c r="J76" s="13">
        <v>3750</v>
      </c>
      <c r="K76" s="4" t="s">
        <v>6</v>
      </c>
      <c r="L76" s="8">
        <v>3512.8140739999999</v>
      </c>
      <c r="M76" s="15">
        <f t="shared" si="3"/>
        <v>1.0675202048851733</v>
      </c>
    </row>
    <row r="77" spans="6:13" ht="15" thickBot="1" x14ac:dyDescent="0.35">
      <c r="F77" s="13">
        <v>4096</v>
      </c>
      <c r="G77" s="8">
        <v>3057.7825720000001</v>
      </c>
      <c r="H77" s="15">
        <f t="shared" si="2"/>
        <v>1.3395327834970734</v>
      </c>
      <c r="J77" s="13">
        <v>4096</v>
      </c>
      <c r="K77" s="4" t="s">
        <v>4</v>
      </c>
      <c r="L77" s="8">
        <v>3058.4587379999998</v>
      </c>
      <c r="M77" s="15">
        <f t="shared" si="3"/>
        <v>1.3392366387386587</v>
      </c>
    </row>
    <row r="78" spans="6:13" ht="15" thickBot="1" x14ac:dyDescent="0.35">
      <c r="F78" s="13">
        <v>4096</v>
      </c>
      <c r="G78" s="8">
        <v>3057.7677020000001</v>
      </c>
      <c r="H78" s="15">
        <f t="shared" si="2"/>
        <v>1.3395392976781464</v>
      </c>
      <c r="J78" s="13">
        <v>4096</v>
      </c>
      <c r="K78" s="4" t="s">
        <v>5</v>
      </c>
      <c r="L78" s="8">
        <v>3058.6342599999998</v>
      </c>
      <c r="M78" s="15">
        <f t="shared" si="3"/>
        <v>1.3391597856489059</v>
      </c>
    </row>
    <row r="79" spans="6:13" ht="15" thickBot="1" x14ac:dyDescent="0.35">
      <c r="F79" s="13">
        <v>4096</v>
      </c>
      <c r="G79" s="8">
        <v>3057.8037340000001</v>
      </c>
      <c r="H79" s="15">
        <f t="shared" si="2"/>
        <v>1.3395235130548768</v>
      </c>
      <c r="J79" s="13">
        <v>4096</v>
      </c>
      <c r="K79" s="4" t="s">
        <v>6</v>
      </c>
      <c r="L79" s="8">
        <v>3058.9467300000001</v>
      </c>
      <c r="M79" s="15">
        <f t="shared" si="3"/>
        <v>1.3390229910934082</v>
      </c>
    </row>
    <row r="80" spans="6:13" ht="15" thickBot="1" x14ac:dyDescent="0.35">
      <c r="F80" s="13">
        <v>4200</v>
      </c>
      <c r="G80" s="8">
        <v>2923.1854269999999</v>
      </c>
      <c r="H80" s="15">
        <f t="shared" si="2"/>
        <v>1.4367887720042332</v>
      </c>
      <c r="J80" s="13">
        <v>4200</v>
      </c>
      <c r="K80" s="4" t="s">
        <v>4</v>
      </c>
      <c r="L80" s="8">
        <v>2923.9269789999998</v>
      </c>
      <c r="M80" s="15">
        <f t="shared" si="3"/>
        <v>1.4364243806924428</v>
      </c>
    </row>
    <row r="81" spans="6:13" ht="15" thickBot="1" x14ac:dyDescent="0.35">
      <c r="F81" s="13">
        <v>4200</v>
      </c>
      <c r="G81" s="8">
        <v>2922.8710620000002</v>
      </c>
      <c r="H81" s="15">
        <f t="shared" si="2"/>
        <v>1.436943303659147</v>
      </c>
      <c r="J81" s="13">
        <v>4200</v>
      </c>
      <c r="K81" s="4" t="s">
        <v>5</v>
      </c>
      <c r="L81" s="8">
        <v>2923.6957430000002</v>
      </c>
      <c r="M81" s="15">
        <f t="shared" si="3"/>
        <v>1.4365379879406965</v>
      </c>
    </row>
    <row r="82" spans="6:13" ht="15" thickBot="1" x14ac:dyDescent="0.35">
      <c r="F82" s="14">
        <v>4200</v>
      </c>
      <c r="G82" s="9">
        <v>2922.810579</v>
      </c>
      <c r="H82" s="15">
        <f t="shared" si="2"/>
        <v>1.4369730389565556</v>
      </c>
      <c r="J82" s="14">
        <v>4200</v>
      </c>
      <c r="K82" s="6" t="s">
        <v>6</v>
      </c>
      <c r="L82" s="9">
        <v>2923.635319</v>
      </c>
      <c r="M82" s="15">
        <f t="shared" si="3"/>
        <v>1.4365676774750991</v>
      </c>
    </row>
    <row r="84" spans="6:13" x14ac:dyDescent="0.3">
      <c r="G84" s="20" t="s">
        <v>12</v>
      </c>
      <c r="H84" s="21">
        <f>AVERAGE(H47:H70)</f>
        <v>0.76430370082335408</v>
      </c>
      <c r="L84" s="20" t="s">
        <v>12</v>
      </c>
      <c r="M84" s="21">
        <f>AVERAGE(M47:M70)</f>
        <v>0.76434307711351768</v>
      </c>
    </row>
    <row r="85" spans="6:13" x14ac:dyDescent="0.3">
      <c r="G85" s="20" t="s">
        <v>13</v>
      </c>
      <c r="H85" s="21">
        <f>AVERAGE(H47:H82)</f>
        <v>0.90592067437298773</v>
      </c>
      <c r="L85" s="20" t="s">
        <v>13</v>
      </c>
      <c r="M85" s="21">
        <f>AVERAGE(M47:M82)</f>
        <v>0.90581196805366082</v>
      </c>
    </row>
    <row r="93" spans="6:13" ht="15" thickBot="1" x14ac:dyDescent="0.35"/>
    <row r="94" spans="6:13" ht="15" thickBot="1" x14ac:dyDescent="0.35">
      <c r="F94" s="32" t="s">
        <v>14</v>
      </c>
      <c r="G94" s="34"/>
      <c r="H94" s="36"/>
    </row>
    <row r="95" spans="6:13" ht="15" thickBot="1" x14ac:dyDescent="0.35">
      <c r="F95" s="11" t="s">
        <v>9</v>
      </c>
      <c r="G95" s="1" t="s">
        <v>7</v>
      </c>
      <c r="H95" s="2" t="s">
        <v>10</v>
      </c>
    </row>
    <row r="96" spans="6:13" ht="15" thickBot="1" x14ac:dyDescent="0.35">
      <c r="F96" s="12">
        <v>32</v>
      </c>
      <c r="G96" s="7">
        <v>42.568300000000001</v>
      </c>
      <c r="H96" s="15">
        <f t="shared" ref="H96:H127" si="4">(F96/G96)</f>
        <v>0.75173309716385195</v>
      </c>
    </row>
    <row r="97" spans="6:8" ht="15" thickBot="1" x14ac:dyDescent="0.35">
      <c r="F97" s="13">
        <v>34</v>
      </c>
      <c r="G97" s="8">
        <v>45.641399999999997</v>
      </c>
      <c r="H97" s="15">
        <f t="shared" si="4"/>
        <v>0.74493771006147935</v>
      </c>
    </row>
    <row r="98" spans="6:8" ht="15" thickBot="1" x14ac:dyDescent="0.35">
      <c r="F98" s="13">
        <v>36</v>
      </c>
      <c r="G98" s="8">
        <v>47.755400000000002</v>
      </c>
      <c r="H98" s="15">
        <f t="shared" si="4"/>
        <v>0.75384145039095052</v>
      </c>
    </row>
    <row r="99" spans="6:8" ht="15" thickBot="1" x14ac:dyDescent="0.35">
      <c r="F99" s="13">
        <v>38</v>
      </c>
      <c r="G99" s="8">
        <v>49.578499999999998</v>
      </c>
      <c r="H99" s="15">
        <f t="shared" si="4"/>
        <v>0.76646126849339935</v>
      </c>
    </row>
    <row r="100" spans="6:8" ht="15" thickBot="1" x14ac:dyDescent="0.35">
      <c r="F100" s="13">
        <v>41</v>
      </c>
      <c r="G100" s="8">
        <v>52.519199999999998</v>
      </c>
      <c r="H100" s="15">
        <f t="shared" si="4"/>
        <v>0.78066687992200956</v>
      </c>
    </row>
    <row r="101" spans="6:8" ht="15" thickBot="1" x14ac:dyDescent="0.35">
      <c r="F101" s="13">
        <v>43</v>
      </c>
      <c r="G101" s="8">
        <v>55.627800000000001</v>
      </c>
      <c r="H101" s="15">
        <f t="shared" si="4"/>
        <v>0.77299479756524614</v>
      </c>
    </row>
    <row r="102" spans="6:8" ht="15" thickBot="1" x14ac:dyDescent="0.35">
      <c r="F102" s="13">
        <v>46</v>
      </c>
      <c r="G102" s="8">
        <v>61.242800000000003</v>
      </c>
      <c r="H102" s="15">
        <f t="shared" si="4"/>
        <v>0.75110870175759437</v>
      </c>
    </row>
    <row r="103" spans="6:8" ht="15" thickBot="1" x14ac:dyDescent="0.35">
      <c r="F103" s="13">
        <v>49</v>
      </c>
      <c r="G103" s="8">
        <v>64.609800000000007</v>
      </c>
      <c r="H103" s="15">
        <f t="shared" si="4"/>
        <v>0.75839888066516215</v>
      </c>
    </row>
    <row r="104" spans="6:8" ht="15" thickBot="1" x14ac:dyDescent="0.35">
      <c r="F104" s="13">
        <v>51</v>
      </c>
      <c r="G104" s="8">
        <v>66.418499999999995</v>
      </c>
      <c r="H104" s="15">
        <f t="shared" si="4"/>
        <v>0.76785835271799274</v>
      </c>
    </row>
    <row r="105" spans="6:8" ht="15" thickBot="1" x14ac:dyDescent="0.35">
      <c r="F105" s="13">
        <v>55</v>
      </c>
      <c r="G105" s="8">
        <v>70.832099999999997</v>
      </c>
      <c r="H105" s="15">
        <f t="shared" si="4"/>
        <v>0.77648410819388392</v>
      </c>
    </row>
    <row r="106" spans="6:8" ht="15" thickBot="1" x14ac:dyDescent="0.35">
      <c r="F106" s="13">
        <v>58</v>
      </c>
      <c r="G106" s="8">
        <v>76.976900000000001</v>
      </c>
      <c r="H106" s="15">
        <f t="shared" si="4"/>
        <v>0.75347279508527887</v>
      </c>
    </row>
    <row r="107" spans="6:8" ht="15" thickBot="1" x14ac:dyDescent="0.35">
      <c r="F107" s="13">
        <v>61</v>
      </c>
      <c r="G107" s="8">
        <v>80.489800000000002</v>
      </c>
      <c r="H107" s="15">
        <f t="shared" si="4"/>
        <v>0.75786000213691673</v>
      </c>
    </row>
    <row r="108" spans="6:8" ht="15" thickBot="1" x14ac:dyDescent="0.35">
      <c r="F108" s="13">
        <v>65</v>
      </c>
      <c r="G108" s="8">
        <v>84.222899999999996</v>
      </c>
      <c r="H108" s="15">
        <f t="shared" si="4"/>
        <v>0.77176159928000587</v>
      </c>
    </row>
    <row r="109" spans="6:8" ht="15" thickBot="1" x14ac:dyDescent="0.35">
      <c r="F109" s="13">
        <v>69</v>
      </c>
      <c r="G109" s="8">
        <v>90.244900000000001</v>
      </c>
      <c r="H109" s="15">
        <f t="shared" si="4"/>
        <v>0.76458614281804294</v>
      </c>
    </row>
    <row r="110" spans="6:8" ht="15" thickBot="1" x14ac:dyDescent="0.35">
      <c r="F110" s="13">
        <v>73</v>
      </c>
      <c r="G110" s="8">
        <v>96.380099999999999</v>
      </c>
      <c r="H110" s="15">
        <f t="shared" si="4"/>
        <v>0.75741776570059582</v>
      </c>
    </row>
    <row r="111" spans="6:8" ht="15" thickBot="1" x14ac:dyDescent="0.35">
      <c r="F111" s="13">
        <v>77</v>
      </c>
      <c r="G111" s="8">
        <v>100.1016</v>
      </c>
      <c r="H111" s="15">
        <f t="shared" si="4"/>
        <v>0.76921847403038512</v>
      </c>
    </row>
    <row r="112" spans="6:8" ht="15" thickBot="1" x14ac:dyDescent="0.35">
      <c r="F112" s="13">
        <v>82</v>
      </c>
      <c r="G112" s="8">
        <v>107.5997</v>
      </c>
      <c r="H112" s="15">
        <f t="shared" si="4"/>
        <v>0.76208390915588053</v>
      </c>
    </row>
    <row r="113" spans="6:8" ht="15" thickBot="1" x14ac:dyDescent="0.35">
      <c r="F113" s="13">
        <v>87</v>
      </c>
      <c r="G113" s="8">
        <v>114.2025</v>
      </c>
      <c r="H113" s="15">
        <f t="shared" si="4"/>
        <v>0.76180468903920662</v>
      </c>
    </row>
    <row r="114" spans="6:8" ht="15" thickBot="1" x14ac:dyDescent="0.35">
      <c r="F114" s="13">
        <v>92</v>
      </c>
      <c r="G114" s="8">
        <v>119.2064</v>
      </c>
      <c r="H114" s="15">
        <f t="shared" si="4"/>
        <v>0.771770643186943</v>
      </c>
    </row>
    <row r="115" spans="6:8" ht="15" thickBot="1" x14ac:dyDescent="0.35">
      <c r="F115" s="13">
        <v>98</v>
      </c>
      <c r="G115" s="8">
        <v>129.12520000000001</v>
      </c>
      <c r="H115" s="15">
        <f t="shared" si="4"/>
        <v>0.75895332591934028</v>
      </c>
    </row>
    <row r="116" spans="6:8" ht="15" thickBot="1" x14ac:dyDescent="0.35">
      <c r="F116" s="13">
        <v>103</v>
      </c>
      <c r="G116" s="8">
        <v>133.83770000000001</v>
      </c>
      <c r="H116" s="15">
        <f t="shared" si="4"/>
        <v>0.76958883782372223</v>
      </c>
    </row>
    <row r="117" spans="6:8" ht="15" thickBot="1" x14ac:dyDescent="0.35">
      <c r="F117" s="13">
        <v>110</v>
      </c>
      <c r="G117" s="8">
        <v>144.92060000000001</v>
      </c>
      <c r="H117" s="15">
        <f t="shared" si="4"/>
        <v>0.75903632747863314</v>
      </c>
    </row>
    <row r="118" spans="6:8" ht="15" thickBot="1" x14ac:dyDescent="0.35">
      <c r="F118" s="13">
        <v>116</v>
      </c>
      <c r="G118" s="8">
        <v>150.768</v>
      </c>
      <c r="H118" s="15">
        <f t="shared" si="4"/>
        <v>0.76939403586968058</v>
      </c>
    </row>
    <row r="119" spans="6:8" ht="15" thickBot="1" x14ac:dyDescent="0.35">
      <c r="F119" s="13">
        <v>123</v>
      </c>
      <c r="G119" s="8">
        <v>161.84270000000001</v>
      </c>
      <c r="H119" s="15">
        <f t="shared" si="4"/>
        <v>0.75999720716473462</v>
      </c>
    </row>
    <row r="120" spans="6:8" ht="15" thickBot="1" x14ac:dyDescent="0.35">
      <c r="F120" s="13">
        <v>130</v>
      </c>
      <c r="G120" s="8">
        <v>168.9853</v>
      </c>
      <c r="H120" s="15">
        <f t="shared" si="4"/>
        <v>0.7692976844731465</v>
      </c>
    </row>
    <row r="121" spans="6:8" ht="15" thickBot="1" x14ac:dyDescent="0.35">
      <c r="F121" s="13">
        <v>138</v>
      </c>
      <c r="G121" s="8">
        <v>180.62450000000001</v>
      </c>
      <c r="H121" s="15">
        <f t="shared" si="4"/>
        <v>0.76401595575351067</v>
      </c>
    </row>
    <row r="122" spans="6:8" ht="15" thickBot="1" x14ac:dyDescent="0.35">
      <c r="F122" s="13">
        <v>146</v>
      </c>
      <c r="G122" s="8">
        <v>191.97280000000001</v>
      </c>
      <c r="H122" s="15">
        <f t="shared" si="4"/>
        <v>0.76052440762441342</v>
      </c>
    </row>
    <row r="123" spans="6:8" ht="15" thickBot="1" x14ac:dyDescent="0.35">
      <c r="F123" s="13">
        <v>155</v>
      </c>
      <c r="G123" s="8">
        <v>201.70089999999999</v>
      </c>
      <c r="H123" s="15">
        <f t="shared" si="4"/>
        <v>0.76846459286993762</v>
      </c>
    </row>
    <row r="124" spans="6:8" ht="15" thickBot="1" x14ac:dyDescent="0.35">
      <c r="F124" s="13">
        <v>164</v>
      </c>
      <c r="G124" s="8">
        <v>214.28280000000001</v>
      </c>
      <c r="H124" s="15">
        <f t="shared" si="4"/>
        <v>0.76534374200822464</v>
      </c>
    </row>
    <row r="125" spans="6:8" ht="15" thickBot="1" x14ac:dyDescent="0.35">
      <c r="F125" s="13">
        <v>174</v>
      </c>
      <c r="G125" s="8">
        <v>228.3646</v>
      </c>
      <c r="H125" s="15">
        <f t="shared" si="4"/>
        <v>0.76193945996883927</v>
      </c>
    </row>
    <row r="126" spans="6:8" ht="15" thickBot="1" x14ac:dyDescent="0.35">
      <c r="F126" s="13">
        <v>185</v>
      </c>
      <c r="G126" s="8">
        <v>243.1052</v>
      </c>
      <c r="H126" s="15">
        <f t="shared" si="4"/>
        <v>0.76098742437430378</v>
      </c>
    </row>
    <row r="127" spans="6:8" ht="15" thickBot="1" x14ac:dyDescent="0.35">
      <c r="F127" s="13">
        <v>196</v>
      </c>
      <c r="G127" s="8">
        <v>257.35070000000002</v>
      </c>
      <c r="H127" s="15">
        <f t="shared" si="4"/>
        <v>0.76160663250575955</v>
      </c>
    </row>
    <row r="128" spans="6:8" ht="15" thickBot="1" x14ac:dyDescent="0.35">
      <c r="F128" s="13">
        <v>207</v>
      </c>
      <c r="G128" s="8">
        <v>270.45370000000003</v>
      </c>
      <c r="H128" s="15">
        <f t="shared" ref="H128:H159" si="5">(F128/G128)</f>
        <v>0.76538054387867493</v>
      </c>
    </row>
    <row r="129" spans="6:8" ht="15" thickBot="1" x14ac:dyDescent="0.35">
      <c r="F129" s="13">
        <v>220</v>
      </c>
      <c r="G129" s="8">
        <v>287.90179999999998</v>
      </c>
      <c r="H129" s="15">
        <f t="shared" si="5"/>
        <v>0.76414944262244977</v>
      </c>
    </row>
    <row r="130" spans="6:8" ht="15" thickBot="1" x14ac:dyDescent="0.35">
      <c r="F130" s="13">
        <v>233</v>
      </c>
      <c r="G130" s="8">
        <v>305.38209999999998</v>
      </c>
      <c r="H130" s="15">
        <f t="shared" si="5"/>
        <v>0.7629785766749263</v>
      </c>
    </row>
    <row r="131" spans="6:8" ht="15" thickBot="1" x14ac:dyDescent="0.35">
      <c r="F131" s="13">
        <v>246</v>
      </c>
      <c r="G131" s="8">
        <v>322.63529999999997</v>
      </c>
      <c r="H131" s="15">
        <f t="shared" si="5"/>
        <v>0.76247081456988752</v>
      </c>
    </row>
    <row r="132" spans="6:8" ht="15" thickBot="1" x14ac:dyDescent="0.35">
      <c r="F132" s="13">
        <v>261</v>
      </c>
      <c r="G132" s="8">
        <v>342.45679999999999</v>
      </c>
      <c r="H132" s="15">
        <f t="shared" si="5"/>
        <v>0.76213992538620934</v>
      </c>
    </row>
    <row r="133" spans="6:8" ht="15" thickBot="1" x14ac:dyDescent="0.35">
      <c r="F133" s="13">
        <v>277</v>
      </c>
      <c r="G133" s="8">
        <v>362.15129999999999</v>
      </c>
      <c r="H133" s="15">
        <f t="shared" si="5"/>
        <v>0.76487368677124723</v>
      </c>
    </row>
    <row r="134" spans="6:8" ht="15" thickBot="1" x14ac:dyDescent="0.35">
      <c r="F134" s="13">
        <v>293</v>
      </c>
      <c r="G134" s="8">
        <v>382.22109999999998</v>
      </c>
      <c r="H134" s="15">
        <f t="shared" si="5"/>
        <v>0.76657201813296028</v>
      </c>
    </row>
    <row r="135" spans="6:8" ht="15" thickBot="1" x14ac:dyDescent="0.35">
      <c r="F135" s="13">
        <v>311</v>
      </c>
      <c r="G135" s="8">
        <v>407.91669999999999</v>
      </c>
      <c r="H135" s="15">
        <f t="shared" si="5"/>
        <v>0.76241056078361102</v>
      </c>
    </row>
    <row r="136" spans="6:8" ht="15" thickBot="1" x14ac:dyDescent="0.35">
      <c r="F136" s="13">
        <v>329</v>
      </c>
      <c r="G136" s="8">
        <v>429.55919999999998</v>
      </c>
      <c r="H136" s="15">
        <f t="shared" si="5"/>
        <v>0.76590141708057935</v>
      </c>
    </row>
    <row r="137" spans="6:8" ht="15" thickBot="1" x14ac:dyDescent="0.35">
      <c r="F137" s="13">
        <v>349</v>
      </c>
      <c r="G137" s="8">
        <v>457.57310000000001</v>
      </c>
      <c r="H137" s="15">
        <f t="shared" si="5"/>
        <v>0.76271966162346516</v>
      </c>
    </row>
    <row r="138" spans="6:8" ht="15" thickBot="1" x14ac:dyDescent="0.35">
      <c r="F138" s="13">
        <v>369</v>
      </c>
      <c r="G138" s="8">
        <v>481.69549999999998</v>
      </c>
      <c r="H138" s="15">
        <f t="shared" si="5"/>
        <v>0.76604410877826346</v>
      </c>
    </row>
    <row r="139" spans="6:8" ht="15" thickBot="1" x14ac:dyDescent="0.35">
      <c r="F139" s="13">
        <v>392</v>
      </c>
      <c r="G139" s="8">
        <v>511.94170000000003</v>
      </c>
      <c r="H139" s="15">
        <f t="shared" si="5"/>
        <v>0.7657121894934521</v>
      </c>
    </row>
    <row r="140" spans="6:8" ht="15" thickBot="1" x14ac:dyDescent="0.35">
      <c r="F140" s="13">
        <v>415</v>
      </c>
      <c r="G140" s="8">
        <v>542.78219999999999</v>
      </c>
      <c r="H140" s="15">
        <f t="shared" si="5"/>
        <v>0.7645792363861601</v>
      </c>
    </row>
    <row r="141" spans="6:8" ht="15" thickBot="1" x14ac:dyDescent="0.35">
      <c r="F141" s="13">
        <v>440</v>
      </c>
      <c r="G141" s="8">
        <v>575.53459999999995</v>
      </c>
      <c r="H141" s="15">
        <f t="shared" si="5"/>
        <v>0.76450659960322109</v>
      </c>
    </row>
    <row r="142" spans="6:8" ht="15" thickBot="1" x14ac:dyDescent="0.35">
      <c r="F142" s="13">
        <v>466</v>
      </c>
      <c r="G142" s="8">
        <v>609.2011</v>
      </c>
      <c r="H142" s="15">
        <f t="shared" si="5"/>
        <v>0.76493624190763942</v>
      </c>
    </row>
    <row r="143" spans="6:8" ht="15" thickBot="1" x14ac:dyDescent="0.35">
      <c r="F143" s="13">
        <v>493</v>
      </c>
      <c r="G143" s="8">
        <v>643.93110000000001</v>
      </c>
      <c r="H143" s="15">
        <f t="shared" si="5"/>
        <v>0.76560986105501039</v>
      </c>
    </row>
    <row r="144" spans="6:8" ht="15" thickBot="1" x14ac:dyDescent="0.35">
      <c r="F144" s="13">
        <v>523</v>
      </c>
      <c r="G144" s="8">
        <v>685.23310000000004</v>
      </c>
      <c r="H144" s="15">
        <f t="shared" si="5"/>
        <v>0.76324392385598416</v>
      </c>
    </row>
    <row r="145" spans="6:8" ht="15" thickBot="1" x14ac:dyDescent="0.35">
      <c r="F145" s="13">
        <v>554</v>
      </c>
      <c r="G145" s="8">
        <v>724.31790000000001</v>
      </c>
      <c r="H145" s="15">
        <f t="shared" si="5"/>
        <v>0.76485753009831736</v>
      </c>
    </row>
    <row r="146" spans="6:8" ht="15" thickBot="1" x14ac:dyDescent="0.35">
      <c r="F146" s="13">
        <v>587</v>
      </c>
      <c r="G146" s="8">
        <v>769.02790000000005</v>
      </c>
      <c r="H146" s="15">
        <f t="shared" si="5"/>
        <v>0.76330130545328712</v>
      </c>
    </row>
    <row r="147" spans="6:8" ht="15" thickBot="1" x14ac:dyDescent="0.35">
      <c r="F147" s="13">
        <v>622</v>
      </c>
      <c r="G147" s="8">
        <v>813.75099999999998</v>
      </c>
      <c r="H147" s="15">
        <f t="shared" si="5"/>
        <v>0.76436157989360387</v>
      </c>
    </row>
    <row r="148" spans="6:8" ht="15" thickBot="1" x14ac:dyDescent="0.35">
      <c r="F148" s="13">
        <v>659</v>
      </c>
      <c r="G148" s="8">
        <v>861.53899999999999</v>
      </c>
      <c r="H148" s="15">
        <f t="shared" si="5"/>
        <v>0.76491023621681664</v>
      </c>
    </row>
    <row r="149" spans="6:8" ht="15" thickBot="1" x14ac:dyDescent="0.35">
      <c r="F149" s="13">
        <v>698</v>
      </c>
      <c r="G149" s="8">
        <v>913.75239999999997</v>
      </c>
      <c r="H149" s="15">
        <f t="shared" si="5"/>
        <v>0.76388308255059034</v>
      </c>
    </row>
    <row r="150" spans="6:8" ht="15" thickBot="1" x14ac:dyDescent="0.35">
      <c r="F150" s="13">
        <v>739</v>
      </c>
      <c r="G150" s="8">
        <v>967.67650000000003</v>
      </c>
      <c r="H150" s="15">
        <f t="shared" si="5"/>
        <v>0.76368497116546696</v>
      </c>
    </row>
    <row r="151" spans="6:8" ht="15" thickBot="1" x14ac:dyDescent="0.35">
      <c r="F151" s="13">
        <v>783</v>
      </c>
      <c r="G151" s="8">
        <v>1023.258</v>
      </c>
      <c r="H151" s="15">
        <f t="shared" si="5"/>
        <v>0.76520291070287261</v>
      </c>
    </row>
    <row r="152" spans="6:8" ht="15" thickBot="1" x14ac:dyDescent="0.35">
      <c r="F152" s="13">
        <v>830</v>
      </c>
      <c r="G152" s="8">
        <v>1085.5782999999999</v>
      </c>
      <c r="H152" s="15">
        <f t="shared" si="5"/>
        <v>0.76456944653370473</v>
      </c>
    </row>
    <row r="153" spans="6:8" ht="15" thickBot="1" x14ac:dyDescent="0.35">
      <c r="F153" s="13">
        <v>880</v>
      </c>
      <c r="G153" s="8">
        <v>1151.0731000000001</v>
      </c>
      <c r="H153" s="15">
        <f t="shared" si="5"/>
        <v>0.76450400934571394</v>
      </c>
    </row>
    <row r="154" spans="6:8" ht="15" thickBot="1" x14ac:dyDescent="0.35">
      <c r="F154" s="13">
        <v>932</v>
      </c>
      <c r="G154" s="8">
        <v>1218.4742000000001</v>
      </c>
      <c r="H154" s="15">
        <f t="shared" si="5"/>
        <v>0.76489104159940347</v>
      </c>
    </row>
    <row r="155" spans="6:8" ht="15" thickBot="1" x14ac:dyDescent="0.35">
      <c r="F155" s="13">
        <v>987</v>
      </c>
      <c r="G155" s="8">
        <v>1291.7911999999999</v>
      </c>
      <c r="H155" s="15">
        <f t="shared" si="5"/>
        <v>0.76405536746186231</v>
      </c>
    </row>
    <row r="156" spans="6:8" ht="15" thickBot="1" x14ac:dyDescent="0.35">
      <c r="F156" s="13">
        <v>1046</v>
      </c>
      <c r="G156" s="8">
        <v>1367.4016999999999</v>
      </c>
      <c r="H156" s="15">
        <f t="shared" si="5"/>
        <v>0.76495443877245439</v>
      </c>
    </row>
    <row r="157" spans="6:8" ht="15" thickBot="1" x14ac:dyDescent="0.35">
      <c r="F157" s="13">
        <v>1108</v>
      </c>
      <c r="G157" s="8">
        <v>1448.7126000000001</v>
      </c>
      <c r="H157" s="15">
        <f t="shared" si="5"/>
        <v>0.76481698302340984</v>
      </c>
    </row>
    <row r="158" spans="6:8" ht="15" thickBot="1" x14ac:dyDescent="0.35">
      <c r="F158" s="13">
        <v>1174</v>
      </c>
      <c r="G158" s="8">
        <v>1535.1975</v>
      </c>
      <c r="H158" s="15">
        <f t="shared" si="5"/>
        <v>0.76472245427705554</v>
      </c>
    </row>
    <row r="159" spans="6:8" ht="15" thickBot="1" x14ac:dyDescent="0.35">
      <c r="F159" s="13">
        <v>1244</v>
      </c>
      <c r="G159" s="8">
        <v>1627.4263000000001</v>
      </c>
      <c r="H159" s="15">
        <f t="shared" si="5"/>
        <v>0.7643971342972643</v>
      </c>
    </row>
    <row r="160" spans="6:8" ht="15" thickBot="1" x14ac:dyDescent="0.35">
      <c r="F160" s="13">
        <v>1318</v>
      </c>
      <c r="G160" s="8">
        <v>1724.8215</v>
      </c>
      <c r="H160" s="15">
        <f t="shared" ref="H160:H181" si="6">(F160/G160)</f>
        <v>0.76413704258672566</v>
      </c>
    </row>
    <row r="161" spans="6:8" ht="15" thickBot="1" x14ac:dyDescent="0.35">
      <c r="F161" s="13">
        <v>1396</v>
      </c>
      <c r="G161" s="8">
        <v>1825.8342</v>
      </c>
      <c r="H161" s="15">
        <f t="shared" si="6"/>
        <v>0.76458201955029648</v>
      </c>
    </row>
    <row r="162" spans="6:8" ht="15" thickBot="1" x14ac:dyDescent="0.35">
      <c r="F162" s="13">
        <v>1479</v>
      </c>
      <c r="G162" s="8">
        <v>1936.0377000000001</v>
      </c>
      <c r="H162" s="15">
        <f t="shared" si="6"/>
        <v>0.76393140484815969</v>
      </c>
    </row>
    <row r="163" spans="6:8" ht="15" thickBot="1" x14ac:dyDescent="0.35">
      <c r="F163" s="13">
        <v>1567</v>
      </c>
      <c r="G163" s="8">
        <v>2051.1203</v>
      </c>
      <c r="H163" s="15">
        <f t="shared" si="6"/>
        <v>0.76397274211561361</v>
      </c>
    </row>
    <row r="164" spans="6:8" ht="15" thickBot="1" x14ac:dyDescent="0.35">
      <c r="F164" s="13">
        <v>1661</v>
      </c>
      <c r="G164" s="8">
        <v>2172.1001000000001</v>
      </c>
      <c r="H164" s="15">
        <f t="shared" si="6"/>
        <v>0.76469772272465708</v>
      </c>
    </row>
    <row r="165" spans="6:8" ht="15" thickBot="1" x14ac:dyDescent="0.35">
      <c r="F165" s="13">
        <v>1760</v>
      </c>
      <c r="G165" s="8">
        <v>2302.1154000000001</v>
      </c>
      <c r="H165" s="15">
        <f t="shared" si="6"/>
        <v>0.76451423764421189</v>
      </c>
    </row>
    <row r="166" spans="6:8" ht="15" thickBot="1" x14ac:dyDescent="0.35">
      <c r="F166" s="13">
        <v>1864</v>
      </c>
      <c r="G166" s="8">
        <v>2437.3926999999999</v>
      </c>
      <c r="H166" s="15">
        <f t="shared" si="6"/>
        <v>0.76475161347615428</v>
      </c>
    </row>
    <row r="167" spans="6:8" ht="15" thickBot="1" x14ac:dyDescent="0.35">
      <c r="F167" s="13">
        <v>1975</v>
      </c>
      <c r="G167" s="8">
        <v>2582.9216000000001</v>
      </c>
      <c r="H167" s="15">
        <f t="shared" si="6"/>
        <v>0.76463799752961914</v>
      </c>
    </row>
    <row r="168" spans="6:8" ht="15" thickBot="1" x14ac:dyDescent="0.35">
      <c r="F168" s="13">
        <v>2093</v>
      </c>
      <c r="G168" s="8">
        <v>2738.9812999999999</v>
      </c>
      <c r="H168" s="15">
        <f t="shared" si="6"/>
        <v>0.76415271619415581</v>
      </c>
    </row>
    <row r="169" spans="6:8" ht="15" thickBot="1" x14ac:dyDescent="0.35">
      <c r="F169" s="13">
        <v>2217</v>
      </c>
      <c r="G169" s="8">
        <v>2899.7707</v>
      </c>
      <c r="H169" s="15">
        <f t="shared" si="6"/>
        <v>0.76454321026141825</v>
      </c>
    </row>
    <row r="170" spans="6:8" ht="15" thickBot="1" x14ac:dyDescent="0.35">
      <c r="F170" s="13">
        <v>2349</v>
      </c>
      <c r="G170" s="8">
        <v>3073.3110000000001</v>
      </c>
      <c r="H170" s="15">
        <f t="shared" si="6"/>
        <v>0.76432225700555523</v>
      </c>
    </row>
    <row r="171" spans="6:8" ht="15" thickBot="1" x14ac:dyDescent="0.35">
      <c r="F171" s="13">
        <v>2489</v>
      </c>
      <c r="G171" s="8">
        <v>3255.7138</v>
      </c>
      <c r="H171" s="15">
        <f t="shared" si="6"/>
        <v>0.76450208860496272</v>
      </c>
    </row>
    <row r="172" spans="6:8" ht="15" thickBot="1" x14ac:dyDescent="0.35">
      <c r="F172" s="13">
        <v>2637</v>
      </c>
      <c r="G172" s="8">
        <v>3450.5443</v>
      </c>
      <c r="H172" s="15">
        <f t="shared" si="6"/>
        <v>0.76422725539272163</v>
      </c>
    </row>
    <row r="173" spans="6:8" ht="15" thickBot="1" x14ac:dyDescent="0.35">
      <c r="F173" s="13">
        <v>2793</v>
      </c>
      <c r="G173" s="8">
        <v>3652.9128000000001</v>
      </c>
      <c r="H173" s="15">
        <f t="shared" si="6"/>
        <v>0.76459531144570436</v>
      </c>
    </row>
    <row r="174" spans="6:8" ht="15" thickBot="1" x14ac:dyDescent="0.35">
      <c r="F174" s="13">
        <v>2959</v>
      </c>
      <c r="G174" s="8">
        <v>3870.8478</v>
      </c>
      <c r="H174" s="15">
        <f t="shared" si="6"/>
        <v>0.76443201925945004</v>
      </c>
    </row>
    <row r="175" spans="6:8" ht="15" thickBot="1" x14ac:dyDescent="0.35">
      <c r="F175" s="13">
        <v>3135</v>
      </c>
      <c r="G175" s="8">
        <v>4089.4094</v>
      </c>
      <c r="H175" s="15">
        <f t="shared" si="6"/>
        <v>0.76661436734605248</v>
      </c>
    </row>
    <row r="176" spans="6:8" ht="15" thickBot="1" x14ac:dyDescent="0.35">
      <c r="F176" s="13">
        <v>3200</v>
      </c>
      <c r="G176" s="8">
        <v>4106.5789999999997</v>
      </c>
      <c r="H176" s="15">
        <f t="shared" si="6"/>
        <v>0.77923741391557311</v>
      </c>
    </row>
    <row r="177" spans="6:8" ht="15" thickBot="1" x14ac:dyDescent="0.35">
      <c r="F177" s="13">
        <v>3322</v>
      </c>
      <c r="G177" s="8">
        <v>4071.4124000000002</v>
      </c>
      <c r="H177" s="15">
        <f t="shared" si="6"/>
        <v>0.81593306539028077</v>
      </c>
    </row>
    <row r="178" spans="6:8" ht="15" thickBot="1" x14ac:dyDescent="0.35">
      <c r="F178" s="13">
        <v>3520</v>
      </c>
      <c r="G178" s="8">
        <v>3812.0839000000001</v>
      </c>
      <c r="H178" s="15">
        <f t="shared" si="6"/>
        <v>0.923379467067868</v>
      </c>
    </row>
    <row r="179" spans="6:8" ht="15" thickBot="1" x14ac:dyDescent="0.35">
      <c r="F179" s="13">
        <v>3729</v>
      </c>
      <c r="G179" s="8">
        <v>3536.9686000000002</v>
      </c>
      <c r="H179" s="15">
        <f t="shared" si="6"/>
        <v>1.0542926504917234</v>
      </c>
    </row>
    <row r="180" spans="6:8" ht="15" thickBot="1" x14ac:dyDescent="0.35">
      <c r="F180" s="13">
        <v>3951</v>
      </c>
      <c r="G180" s="8">
        <v>3248.1347999999998</v>
      </c>
      <c r="H180" s="15">
        <f t="shared" si="6"/>
        <v>1.2163904035017266</v>
      </c>
    </row>
    <row r="181" spans="6:8" ht="15" thickBot="1" x14ac:dyDescent="0.35">
      <c r="F181" s="13">
        <v>4186</v>
      </c>
      <c r="G181" s="8">
        <v>2940.7312000000002</v>
      </c>
      <c r="H181" s="15">
        <f t="shared" si="6"/>
        <v>1.4234554997750219</v>
      </c>
    </row>
    <row r="182" spans="6:8" ht="15" thickBot="1" x14ac:dyDescent="0.35">
      <c r="F182" s="13"/>
      <c r="G182" s="8"/>
      <c r="H182" s="15"/>
    </row>
    <row r="183" spans="6:8" ht="15" thickBot="1" x14ac:dyDescent="0.35">
      <c r="F183" s="13"/>
      <c r="G183" s="8"/>
      <c r="H183" s="15"/>
    </row>
    <row r="184" spans="6:8" ht="15" thickBot="1" x14ac:dyDescent="0.35">
      <c r="F184" s="13"/>
      <c r="G184" s="8"/>
      <c r="H184" s="15"/>
    </row>
    <row r="185" spans="6:8" ht="15" thickBot="1" x14ac:dyDescent="0.35">
      <c r="F185" s="13"/>
      <c r="G185" s="8"/>
      <c r="H185" s="15"/>
    </row>
    <row r="186" spans="6:8" ht="15" thickBot="1" x14ac:dyDescent="0.35">
      <c r="F186" s="13"/>
      <c r="G186" s="8"/>
      <c r="H186" s="15"/>
    </row>
    <row r="187" spans="6:8" ht="15" thickBot="1" x14ac:dyDescent="0.35">
      <c r="F187" s="13"/>
      <c r="G187" s="8"/>
      <c r="H187" s="15"/>
    </row>
    <row r="188" spans="6:8" ht="15" thickBot="1" x14ac:dyDescent="0.35">
      <c r="F188" s="13"/>
      <c r="G188" s="8"/>
      <c r="H188" s="15"/>
    </row>
    <row r="189" spans="6:8" ht="15" thickBot="1" x14ac:dyDescent="0.35">
      <c r="F189" s="13"/>
      <c r="G189" s="8"/>
      <c r="H189" s="15"/>
    </row>
    <row r="190" spans="6:8" ht="15" thickBot="1" x14ac:dyDescent="0.35">
      <c r="F190" s="13"/>
      <c r="G190" s="8"/>
      <c r="H190" s="15"/>
    </row>
    <row r="191" spans="6:8" ht="15" thickBot="1" x14ac:dyDescent="0.35">
      <c r="F191" s="13"/>
      <c r="G191" s="8"/>
      <c r="H191" s="15"/>
    </row>
    <row r="192" spans="6:8" ht="15" thickBot="1" x14ac:dyDescent="0.35">
      <c r="F192" s="13"/>
      <c r="G192" s="8"/>
      <c r="H192" s="15"/>
    </row>
    <row r="193" spans="6:8" ht="15" thickBot="1" x14ac:dyDescent="0.35">
      <c r="F193" s="13"/>
      <c r="G193" s="8"/>
      <c r="H193" s="15"/>
    </row>
    <row r="194" spans="6:8" ht="15" thickBot="1" x14ac:dyDescent="0.35">
      <c r="F194" s="13"/>
      <c r="G194" s="8"/>
      <c r="H194" s="15"/>
    </row>
    <row r="195" spans="6:8" ht="15" thickBot="1" x14ac:dyDescent="0.35">
      <c r="F195" s="13"/>
      <c r="G195" s="8"/>
      <c r="H195" s="15"/>
    </row>
    <row r="196" spans="6:8" ht="15" thickBot="1" x14ac:dyDescent="0.35">
      <c r="F196" s="13"/>
      <c r="G196" s="8"/>
      <c r="H196" s="15"/>
    </row>
    <row r="197" spans="6:8" ht="15" thickBot="1" x14ac:dyDescent="0.35">
      <c r="F197" s="13"/>
      <c r="G197" s="8"/>
      <c r="H197" s="15"/>
    </row>
    <row r="198" spans="6:8" ht="15" thickBot="1" x14ac:dyDescent="0.35">
      <c r="F198" s="13"/>
      <c r="G198" s="8"/>
      <c r="H198" s="15"/>
    </row>
    <row r="199" spans="6:8" ht="15" thickBot="1" x14ac:dyDescent="0.35">
      <c r="F199" s="13"/>
      <c r="G199" s="8"/>
      <c r="H199" s="15"/>
    </row>
    <row r="200" spans="6:8" ht="15" thickBot="1" x14ac:dyDescent="0.35">
      <c r="F200" s="13"/>
      <c r="G200" s="8"/>
      <c r="H200" s="15"/>
    </row>
    <row r="201" spans="6:8" ht="15" thickBot="1" x14ac:dyDescent="0.35">
      <c r="F201" s="13"/>
      <c r="G201" s="8"/>
      <c r="H201" s="15"/>
    </row>
    <row r="202" spans="6:8" ht="15" thickBot="1" x14ac:dyDescent="0.35">
      <c r="F202" s="13"/>
      <c r="G202" s="8"/>
      <c r="H202" s="15"/>
    </row>
    <row r="203" spans="6:8" ht="15" thickBot="1" x14ac:dyDescent="0.35">
      <c r="F203" s="13"/>
      <c r="G203" s="8"/>
      <c r="H203" s="15"/>
    </row>
    <row r="204" spans="6:8" ht="15" thickBot="1" x14ac:dyDescent="0.35">
      <c r="F204" s="13"/>
      <c r="G204" s="8"/>
      <c r="H204" s="15"/>
    </row>
    <row r="205" spans="6:8" ht="15" thickBot="1" x14ac:dyDescent="0.35">
      <c r="F205" s="13"/>
      <c r="G205" s="8"/>
      <c r="H205" s="15"/>
    </row>
    <row r="206" spans="6:8" ht="15" thickBot="1" x14ac:dyDescent="0.35">
      <c r="F206" s="13"/>
      <c r="G206" s="8"/>
      <c r="H206" s="15"/>
    </row>
    <row r="207" spans="6:8" ht="15" thickBot="1" x14ac:dyDescent="0.35">
      <c r="F207" s="13"/>
      <c r="G207" s="8"/>
      <c r="H207" s="15"/>
    </row>
    <row r="208" spans="6:8" ht="15" thickBot="1" x14ac:dyDescent="0.35">
      <c r="F208" s="13"/>
      <c r="G208" s="8"/>
      <c r="H208" s="15"/>
    </row>
    <row r="209" spans="6:8" ht="15" thickBot="1" x14ac:dyDescent="0.35">
      <c r="F209" s="13"/>
      <c r="G209" s="8"/>
      <c r="H209" s="15"/>
    </row>
    <row r="210" spans="6:8" ht="15" thickBot="1" x14ac:dyDescent="0.35">
      <c r="F210" s="13"/>
      <c r="G210" s="8"/>
      <c r="H210" s="15"/>
    </row>
    <row r="211" spans="6:8" ht="15" thickBot="1" x14ac:dyDescent="0.35">
      <c r="F211" s="13"/>
      <c r="G211" s="8"/>
      <c r="H211" s="15"/>
    </row>
    <row r="212" spans="6:8" ht="15" thickBot="1" x14ac:dyDescent="0.35">
      <c r="F212" s="13"/>
      <c r="G212" s="8"/>
      <c r="H212" s="15"/>
    </row>
    <row r="213" spans="6:8" ht="15" thickBot="1" x14ac:dyDescent="0.35">
      <c r="F213" s="13"/>
      <c r="G213" s="8"/>
      <c r="H213" s="15"/>
    </row>
    <row r="214" spans="6:8" ht="15" thickBot="1" x14ac:dyDescent="0.35">
      <c r="F214" s="13"/>
      <c r="G214" s="8"/>
      <c r="H214" s="15"/>
    </row>
    <row r="215" spans="6:8" ht="15" thickBot="1" x14ac:dyDescent="0.35">
      <c r="F215" s="13"/>
      <c r="G215" s="8"/>
      <c r="H215" s="15"/>
    </row>
    <row r="216" spans="6:8" ht="15" thickBot="1" x14ac:dyDescent="0.35">
      <c r="F216" s="13"/>
      <c r="G216" s="8"/>
      <c r="H216" s="15"/>
    </row>
    <row r="217" spans="6:8" ht="15" thickBot="1" x14ac:dyDescent="0.35">
      <c r="F217" s="13"/>
      <c r="G217" s="8"/>
      <c r="H217" s="15"/>
    </row>
    <row r="218" spans="6:8" ht="15" thickBot="1" x14ac:dyDescent="0.35">
      <c r="F218" s="13"/>
      <c r="G218" s="8"/>
      <c r="H218" s="15"/>
    </row>
    <row r="219" spans="6:8" ht="15" thickBot="1" x14ac:dyDescent="0.35">
      <c r="F219" s="13"/>
      <c r="G219" s="8"/>
      <c r="H219" s="15"/>
    </row>
    <row r="220" spans="6:8" ht="15" thickBot="1" x14ac:dyDescent="0.35">
      <c r="F220" s="13"/>
      <c r="G220" s="8"/>
      <c r="H220" s="15"/>
    </row>
    <row r="221" spans="6:8" ht="15" thickBot="1" x14ac:dyDescent="0.35">
      <c r="F221" s="13"/>
      <c r="G221" s="8"/>
      <c r="H221" s="15"/>
    </row>
    <row r="222" spans="6:8" ht="15" thickBot="1" x14ac:dyDescent="0.35">
      <c r="F222" s="13"/>
      <c r="G222" s="8"/>
      <c r="H222" s="15"/>
    </row>
    <row r="223" spans="6:8" ht="15" thickBot="1" x14ac:dyDescent="0.35">
      <c r="F223" s="13"/>
      <c r="G223" s="8"/>
      <c r="H223" s="15"/>
    </row>
    <row r="224" spans="6:8" ht="15" thickBot="1" x14ac:dyDescent="0.35">
      <c r="F224" s="13"/>
      <c r="G224" s="8"/>
      <c r="H224" s="15"/>
    </row>
    <row r="225" spans="6:8" ht="15" thickBot="1" x14ac:dyDescent="0.35">
      <c r="F225" s="13"/>
      <c r="G225" s="8"/>
      <c r="H225" s="15"/>
    </row>
    <row r="226" spans="6:8" ht="15" thickBot="1" x14ac:dyDescent="0.35">
      <c r="F226" s="13"/>
      <c r="G226" s="8"/>
      <c r="H226" s="15"/>
    </row>
    <row r="227" spans="6:8" ht="15" thickBot="1" x14ac:dyDescent="0.35">
      <c r="F227" s="13"/>
      <c r="G227" s="8"/>
      <c r="H227" s="15"/>
    </row>
    <row r="228" spans="6:8" ht="15" thickBot="1" x14ac:dyDescent="0.35">
      <c r="F228" s="13"/>
      <c r="G228" s="8"/>
      <c r="H228" s="15"/>
    </row>
    <row r="229" spans="6:8" ht="15" thickBot="1" x14ac:dyDescent="0.35">
      <c r="F229" s="13"/>
      <c r="G229" s="8"/>
      <c r="H229" s="15"/>
    </row>
    <row r="230" spans="6:8" ht="15" thickBot="1" x14ac:dyDescent="0.35">
      <c r="F230" s="13"/>
      <c r="G230" s="8"/>
      <c r="H230" s="15"/>
    </row>
    <row r="231" spans="6:8" ht="15" thickBot="1" x14ac:dyDescent="0.35">
      <c r="F231" s="13"/>
      <c r="G231" s="8"/>
      <c r="H231" s="15"/>
    </row>
    <row r="232" spans="6:8" ht="15" thickBot="1" x14ac:dyDescent="0.35">
      <c r="F232" s="13"/>
      <c r="G232" s="8"/>
      <c r="H232" s="15"/>
    </row>
    <row r="233" spans="6:8" ht="15" thickBot="1" x14ac:dyDescent="0.35">
      <c r="F233" s="13"/>
      <c r="G233" s="8"/>
      <c r="H233" s="15"/>
    </row>
    <row r="234" spans="6:8" ht="15" thickBot="1" x14ac:dyDescent="0.35">
      <c r="F234" s="13"/>
      <c r="G234" s="8"/>
      <c r="H234" s="15"/>
    </row>
    <row r="235" spans="6:8" ht="15" thickBot="1" x14ac:dyDescent="0.35">
      <c r="F235" s="13"/>
      <c r="G235" s="8"/>
      <c r="H235" s="15"/>
    </row>
    <row r="236" spans="6:8" ht="15" thickBot="1" x14ac:dyDescent="0.35">
      <c r="F236" s="13"/>
      <c r="G236" s="8"/>
      <c r="H236" s="15"/>
    </row>
    <row r="237" spans="6:8" ht="15" thickBot="1" x14ac:dyDescent="0.35">
      <c r="F237" s="13"/>
      <c r="G237" s="8"/>
      <c r="H237" s="15"/>
    </row>
    <row r="238" spans="6:8" ht="15" thickBot="1" x14ac:dyDescent="0.35">
      <c r="F238" s="13"/>
      <c r="G238" s="8"/>
      <c r="H238" s="15"/>
    </row>
    <row r="239" spans="6:8" ht="15" thickBot="1" x14ac:dyDescent="0.35">
      <c r="F239" s="13"/>
      <c r="G239" s="8"/>
      <c r="H239" s="15"/>
    </row>
    <row r="240" spans="6:8" ht="15" thickBot="1" x14ac:dyDescent="0.35">
      <c r="F240" s="13"/>
      <c r="G240" s="8"/>
      <c r="H240" s="15"/>
    </row>
    <row r="241" spans="6:8" ht="15" thickBot="1" x14ac:dyDescent="0.35">
      <c r="F241" s="13"/>
      <c r="G241" s="8"/>
      <c r="H241" s="15"/>
    </row>
    <row r="242" spans="6:8" ht="15" thickBot="1" x14ac:dyDescent="0.35">
      <c r="F242" s="13"/>
      <c r="G242" s="8"/>
      <c r="H242" s="15"/>
    </row>
    <row r="243" spans="6:8" ht="15" thickBot="1" x14ac:dyDescent="0.35">
      <c r="F243" s="13"/>
      <c r="G243" s="8"/>
      <c r="H243" s="15" t="e">
        <f>(F243/G243)</f>
        <v>#DIV/0!</v>
      </c>
    </row>
    <row r="244" spans="6:8" ht="15" thickBot="1" x14ac:dyDescent="0.35">
      <c r="F244" s="13"/>
      <c r="G244" s="8"/>
      <c r="H244" s="15" t="e">
        <f>(F244/G244)</f>
        <v>#DIV/0!</v>
      </c>
    </row>
    <row r="245" spans="6:8" ht="15" thickBot="1" x14ac:dyDescent="0.35">
      <c r="F245" s="13"/>
      <c r="G245" s="8"/>
      <c r="H245" s="15" t="e">
        <f>(F245/G245)</f>
        <v>#DIV/0!</v>
      </c>
    </row>
    <row r="246" spans="6:8" ht="15" thickBot="1" x14ac:dyDescent="0.35">
      <c r="F246" s="13"/>
      <c r="G246" s="8"/>
      <c r="H246" s="15" t="e">
        <f>(F246/G246)</f>
        <v>#DIV/0!</v>
      </c>
    </row>
    <row r="247" spans="6:8" ht="15" thickBot="1" x14ac:dyDescent="0.35">
      <c r="F247" s="14"/>
      <c r="G247" s="9"/>
      <c r="H247" s="17" t="e">
        <f>(F247/G247)</f>
        <v>#DIV/0!</v>
      </c>
    </row>
  </sheetData>
  <mergeCells count="5">
    <mergeCell ref="F3:H3"/>
    <mergeCell ref="J3:M3"/>
    <mergeCell ref="F45:H45"/>
    <mergeCell ref="J45:M45"/>
    <mergeCell ref="F94:H94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6BB9-5F53-4081-A682-7B1CABA993E1}">
  <dimension ref="F1:P263"/>
  <sheetViews>
    <sheetView tabSelected="1" topLeftCell="J202" zoomScaleNormal="100" workbookViewId="0">
      <selection activeCell="O207" sqref="O207"/>
    </sheetView>
  </sheetViews>
  <sheetFormatPr defaultRowHeight="14.4" x14ac:dyDescent="0.3"/>
  <cols>
    <col min="6" max="7" width="22.5546875" style="10" customWidth="1"/>
    <col min="8" max="9" width="28.5546875" customWidth="1"/>
    <col min="10" max="10" width="46.5546875" customWidth="1"/>
    <col min="12" max="12" width="5.33203125" customWidth="1"/>
    <col min="13" max="13" width="22.5546875" customWidth="1"/>
    <col min="14" max="14" width="26.33203125" customWidth="1"/>
    <col min="15" max="15" width="9" customWidth="1"/>
    <col min="16" max="16" width="46.5546875" customWidth="1"/>
  </cols>
  <sheetData>
    <row r="1" spans="6:16" ht="15" thickBot="1" x14ac:dyDescent="0.35"/>
    <row r="2" spans="6:16" ht="15" thickBot="1" x14ac:dyDescent="0.35">
      <c r="F2" s="32" t="s">
        <v>14</v>
      </c>
      <c r="G2" s="33"/>
      <c r="H2" s="34"/>
      <c r="I2" s="35"/>
      <c r="J2" s="36"/>
      <c r="L2" s="32" t="s">
        <v>15</v>
      </c>
      <c r="M2" s="33"/>
      <c r="N2" s="34"/>
      <c r="O2" s="35"/>
      <c r="P2" s="36"/>
    </row>
    <row r="3" spans="6:16" ht="15" thickBot="1" x14ac:dyDescent="0.35">
      <c r="F3" s="11" t="s">
        <v>9</v>
      </c>
      <c r="G3" s="23" t="s">
        <v>18</v>
      </c>
      <c r="H3" s="1" t="s">
        <v>7</v>
      </c>
      <c r="I3" s="1" t="s">
        <v>104</v>
      </c>
      <c r="J3" s="2" t="s">
        <v>107</v>
      </c>
      <c r="L3" s="11" t="s">
        <v>9</v>
      </c>
      <c r="M3" s="23" t="s">
        <v>18</v>
      </c>
      <c r="N3" s="1" t="s">
        <v>7</v>
      </c>
      <c r="O3" s="1" t="s">
        <v>104</v>
      </c>
      <c r="P3" s="2" t="s">
        <v>107</v>
      </c>
    </row>
    <row r="4" spans="6:16" ht="15" thickBot="1" x14ac:dyDescent="0.35">
      <c r="F4" s="12">
        <v>32</v>
      </c>
      <c r="G4" s="24" t="s">
        <v>19</v>
      </c>
      <c r="H4" s="7">
        <v>32.187800000000003</v>
      </c>
      <c r="I4" s="27" t="s">
        <v>19</v>
      </c>
      <c r="J4" s="15">
        <f>ABS(1 -(F4/H4))</f>
        <v>5.834508726909049E-3</v>
      </c>
      <c r="L4" s="12">
        <v>32</v>
      </c>
      <c r="M4" s="24" t="s">
        <v>19</v>
      </c>
      <c r="N4" s="7">
        <v>32.192399999999999</v>
      </c>
      <c r="O4" s="27" t="s">
        <v>19</v>
      </c>
      <c r="P4" s="15">
        <f>ABS(1 -(L4/N4))</f>
        <v>5.9765658975410307E-3</v>
      </c>
    </row>
    <row r="5" spans="6:16" ht="15" thickBot="1" x14ac:dyDescent="0.35">
      <c r="F5" s="13">
        <v>34</v>
      </c>
      <c r="G5" s="25" t="s">
        <v>20</v>
      </c>
      <c r="H5" s="8">
        <v>34.8262</v>
      </c>
      <c r="I5" s="28" t="s">
        <v>20</v>
      </c>
      <c r="J5" s="15">
        <f t="shared" ref="J5:J68" si="0">ABS(1 -(F5/H5))</f>
        <v>2.37235185004393E-2</v>
      </c>
      <c r="L5" s="13">
        <v>34</v>
      </c>
      <c r="M5" s="25" t="s">
        <v>20</v>
      </c>
      <c r="N5" s="8">
        <v>34.871000000000002</v>
      </c>
      <c r="O5" s="25" t="s">
        <v>20</v>
      </c>
      <c r="P5" s="15">
        <f t="shared" ref="P5:P68" si="1">ABS(1 -(L5/N5))</f>
        <v>2.497777522870015E-2</v>
      </c>
    </row>
    <row r="6" spans="6:16" ht="15" thickBot="1" x14ac:dyDescent="0.35">
      <c r="F6" s="13">
        <v>36</v>
      </c>
      <c r="G6" s="25" t="s">
        <v>21</v>
      </c>
      <c r="H6" s="8">
        <v>36.499499999999998</v>
      </c>
      <c r="I6" s="28" t="s">
        <v>21</v>
      </c>
      <c r="J6" s="15">
        <f t="shared" si="0"/>
        <v>1.3685118974232413E-2</v>
      </c>
      <c r="L6" s="13">
        <v>36</v>
      </c>
      <c r="M6" s="25" t="s">
        <v>21</v>
      </c>
      <c r="N6" s="8">
        <v>36.490699999999997</v>
      </c>
      <c r="O6" s="28" t="s">
        <v>21</v>
      </c>
      <c r="P6" s="15">
        <f t="shared" si="1"/>
        <v>1.3447261905088048E-2</v>
      </c>
    </row>
    <row r="7" spans="6:16" ht="15" thickBot="1" x14ac:dyDescent="0.35">
      <c r="F7" s="13">
        <v>38</v>
      </c>
      <c r="G7" s="25" t="s">
        <v>22</v>
      </c>
      <c r="H7" s="8">
        <v>37.8947</v>
      </c>
      <c r="I7" s="25" t="s">
        <v>22</v>
      </c>
      <c r="J7" s="15">
        <f t="shared" si="0"/>
        <v>2.7787527015650237E-3</v>
      </c>
      <c r="L7" s="13">
        <v>38</v>
      </c>
      <c r="M7" s="25" t="s">
        <v>22</v>
      </c>
      <c r="N7" s="8">
        <v>37.890900000000002</v>
      </c>
      <c r="O7" s="25" t="s">
        <v>22</v>
      </c>
      <c r="P7" s="15">
        <f t="shared" si="1"/>
        <v>2.879319308857653E-3</v>
      </c>
    </row>
    <row r="8" spans="6:16" ht="15" thickBot="1" x14ac:dyDescent="0.35">
      <c r="F8" s="13">
        <v>41</v>
      </c>
      <c r="G8" s="25" t="s">
        <v>23</v>
      </c>
      <c r="H8" s="8">
        <v>40.134300000000003</v>
      </c>
      <c r="I8" s="28" t="s">
        <v>23</v>
      </c>
      <c r="J8" s="15">
        <f t="shared" si="0"/>
        <v>2.1570078461565112E-2</v>
      </c>
      <c r="L8" s="13">
        <v>41</v>
      </c>
      <c r="M8" s="25" t="s">
        <v>23</v>
      </c>
      <c r="N8" s="8">
        <v>40.1997</v>
      </c>
      <c r="O8" s="25" t="s">
        <v>23</v>
      </c>
      <c r="P8" s="15">
        <f t="shared" si="1"/>
        <v>1.9908108766980792E-2</v>
      </c>
    </row>
    <row r="9" spans="6:16" ht="15" thickBot="1" x14ac:dyDescent="0.35">
      <c r="F9" s="13">
        <v>43</v>
      </c>
      <c r="G9" s="25" t="s">
        <v>24</v>
      </c>
      <c r="H9" s="8">
        <v>42.444400000000002</v>
      </c>
      <c r="I9" s="28" t="s">
        <v>24</v>
      </c>
      <c r="J9" s="15">
        <f t="shared" si="0"/>
        <v>1.3090066062896311E-2</v>
      </c>
      <c r="L9" s="13">
        <v>43</v>
      </c>
      <c r="M9" s="25" t="s">
        <v>24</v>
      </c>
      <c r="N9" s="8">
        <v>42.464799999999997</v>
      </c>
      <c r="O9" s="28" t="s">
        <v>24</v>
      </c>
      <c r="P9" s="15">
        <f t="shared" si="1"/>
        <v>1.2603379740396825E-2</v>
      </c>
    </row>
    <row r="10" spans="6:16" ht="15" thickBot="1" x14ac:dyDescent="0.35">
      <c r="F10" s="13">
        <v>46</v>
      </c>
      <c r="G10" s="25" t="s">
        <v>25</v>
      </c>
      <c r="H10" s="8">
        <v>46.759</v>
      </c>
      <c r="I10" s="25" t="s">
        <v>25</v>
      </c>
      <c r="J10" s="15">
        <f t="shared" si="0"/>
        <v>1.6232169208066916E-2</v>
      </c>
      <c r="L10" s="13">
        <v>46</v>
      </c>
      <c r="M10" s="25" t="s">
        <v>25</v>
      </c>
      <c r="N10" s="8">
        <v>46.773400000000002</v>
      </c>
      <c r="O10" s="25" t="s">
        <v>25</v>
      </c>
      <c r="P10" s="15">
        <f t="shared" si="1"/>
        <v>1.6535039146181374E-2</v>
      </c>
    </row>
    <row r="11" spans="6:16" ht="15" thickBot="1" x14ac:dyDescent="0.35">
      <c r="F11" s="13">
        <v>49</v>
      </c>
      <c r="G11" s="25" t="s">
        <v>26</v>
      </c>
      <c r="H11" s="8">
        <v>49.380299999999998</v>
      </c>
      <c r="I11" s="28" t="s">
        <v>26</v>
      </c>
      <c r="J11" s="15">
        <f t="shared" si="0"/>
        <v>7.7014517935289906E-3</v>
      </c>
      <c r="L11" s="13">
        <v>49</v>
      </c>
      <c r="M11" s="25" t="s">
        <v>26</v>
      </c>
      <c r="N11" s="8">
        <v>49.381500000000003</v>
      </c>
      <c r="O11" s="25" t="s">
        <v>26</v>
      </c>
      <c r="P11" s="15">
        <f t="shared" si="1"/>
        <v>7.7255652420441523E-3</v>
      </c>
    </row>
    <row r="12" spans="6:16" ht="15" thickBot="1" x14ac:dyDescent="0.35">
      <c r="F12" s="13">
        <v>51</v>
      </c>
      <c r="G12" s="25" t="s">
        <v>27</v>
      </c>
      <c r="H12" s="8">
        <v>50.761800000000001</v>
      </c>
      <c r="I12" s="25" t="s">
        <v>27</v>
      </c>
      <c r="J12" s="15">
        <f t="shared" si="0"/>
        <v>4.6925049939128272E-3</v>
      </c>
      <c r="L12" s="13">
        <v>51</v>
      </c>
      <c r="M12" s="25" t="s">
        <v>27</v>
      </c>
      <c r="N12" s="8">
        <v>50.761099999999999</v>
      </c>
      <c r="O12" s="25" t="s">
        <v>27</v>
      </c>
      <c r="P12" s="15">
        <f t="shared" si="1"/>
        <v>4.7063597912575528E-3</v>
      </c>
    </row>
    <row r="13" spans="6:16" ht="15" thickBot="1" x14ac:dyDescent="0.35">
      <c r="F13" s="13">
        <v>55</v>
      </c>
      <c r="G13" s="25" t="s">
        <v>28</v>
      </c>
      <c r="H13" s="8">
        <v>54.124699999999997</v>
      </c>
      <c r="I13" s="28" t="s">
        <v>28</v>
      </c>
      <c r="J13" s="15">
        <f t="shared" si="0"/>
        <v>1.6171914116845043E-2</v>
      </c>
      <c r="L13" s="13">
        <v>55</v>
      </c>
      <c r="M13" s="25" t="s">
        <v>28</v>
      </c>
      <c r="N13" s="8">
        <v>54.283200000000001</v>
      </c>
      <c r="O13" s="25" t="s">
        <v>28</v>
      </c>
      <c r="P13" s="15">
        <f t="shared" si="1"/>
        <v>1.3204822118076942E-2</v>
      </c>
    </row>
    <row r="14" spans="6:16" ht="15" thickBot="1" x14ac:dyDescent="0.35">
      <c r="F14" s="13">
        <v>58</v>
      </c>
      <c r="G14" s="25" t="s">
        <v>29</v>
      </c>
      <c r="H14" s="8">
        <v>58.786299999999997</v>
      </c>
      <c r="I14" s="25" t="s">
        <v>29</v>
      </c>
      <c r="J14" s="15">
        <f t="shared" si="0"/>
        <v>1.3375565395338684E-2</v>
      </c>
      <c r="L14" s="13">
        <v>58</v>
      </c>
      <c r="M14" s="25" t="s">
        <v>29</v>
      </c>
      <c r="N14" s="8">
        <v>58.671700000000001</v>
      </c>
      <c r="O14" s="25" t="s">
        <v>29</v>
      </c>
      <c r="P14" s="15">
        <f t="shared" si="1"/>
        <v>1.1448449593245091E-2</v>
      </c>
    </row>
    <row r="15" spans="6:16" ht="15" thickBot="1" x14ac:dyDescent="0.35">
      <c r="F15" s="13">
        <v>61</v>
      </c>
      <c r="G15" s="25" t="s">
        <v>30</v>
      </c>
      <c r="H15" s="8">
        <v>61.517200000000003</v>
      </c>
      <c r="I15" s="28" t="s">
        <v>30</v>
      </c>
      <c r="J15" s="15">
        <f t="shared" si="0"/>
        <v>8.4074047583440059E-3</v>
      </c>
      <c r="L15" s="13">
        <v>61</v>
      </c>
      <c r="M15" s="25" t="s">
        <v>30</v>
      </c>
      <c r="N15" s="8">
        <v>61.5366</v>
      </c>
      <c r="O15" s="25" t="s">
        <v>30</v>
      </c>
      <c r="P15" s="15">
        <f t="shared" si="1"/>
        <v>8.7200137804168687E-3</v>
      </c>
    </row>
    <row r="16" spans="6:16" ht="15" thickBot="1" x14ac:dyDescent="0.35">
      <c r="F16" s="13">
        <v>65</v>
      </c>
      <c r="G16" s="24" t="s">
        <v>31</v>
      </c>
      <c r="H16" s="8">
        <v>64.352699999999999</v>
      </c>
      <c r="I16" s="28" t="s">
        <v>31</v>
      </c>
      <c r="J16" s="15">
        <f t="shared" si="0"/>
        <v>1.0058630018631609E-2</v>
      </c>
      <c r="L16" s="13">
        <v>65</v>
      </c>
      <c r="M16" s="24" t="s">
        <v>31</v>
      </c>
      <c r="N16" s="8">
        <v>64.351500000000001</v>
      </c>
      <c r="O16" s="24" t="s">
        <v>31</v>
      </c>
      <c r="P16" s="15">
        <f t="shared" si="1"/>
        <v>1.0077465171751898E-2</v>
      </c>
    </row>
    <row r="17" spans="6:16" ht="15" thickBot="1" x14ac:dyDescent="0.35">
      <c r="F17" s="13">
        <v>69</v>
      </c>
      <c r="G17" s="25" t="s">
        <v>32</v>
      </c>
      <c r="H17" s="8">
        <v>68.876400000000004</v>
      </c>
      <c r="I17" s="25" t="s">
        <v>32</v>
      </c>
      <c r="J17" s="15">
        <f t="shared" si="0"/>
        <v>1.7945188772932053E-3</v>
      </c>
      <c r="L17" s="13">
        <v>69</v>
      </c>
      <c r="M17" s="25" t="s">
        <v>32</v>
      </c>
      <c r="N17" s="8">
        <v>68.788700000000006</v>
      </c>
      <c r="O17" s="25" t="s">
        <v>32</v>
      </c>
      <c r="P17" s="15">
        <f t="shared" si="1"/>
        <v>3.0717254432777175E-3</v>
      </c>
    </row>
    <row r="18" spans="6:16" ht="15" thickBot="1" x14ac:dyDescent="0.35">
      <c r="F18" s="13">
        <v>73</v>
      </c>
      <c r="G18" s="25" t="s">
        <v>33</v>
      </c>
      <c r="H18" s="8">
        <v>73.638800000000003</v>
      </c>
      <c r="I18" s="25" t="s">
        <v>33</v>
      </c>
      <c r="J18" s="15">
        <f t="shared" si="0"/>
        <v>8.67477471115774E-3</v>
      </c>
      <c r="L18" s="13">
        <v>73</v>
      </c>
      <c r="M18" s="25" t="s">
        <v>33</v>
      </c>
      <c r="N18" s="8">
        <v>73.643900000000002</v>
      </c>
      <c r="O18" s="25" t="s">
        <v>33</v>
      </c>
      <c r="P18" s="15">
        <f t="shared" si="1"/>
        <v>8.7434261357696164E-3</v>
      </c>
    </row>
    <row r="19" spans="6:16" ht="15" thickBot="1" x14ac:dyDescent="0.35">
      <c r="F19" s="13">
        <v>77</v>
      </c>
      <c r="G19" s="25" t="s">
        <v>34</v>
      </c>
      <c r="H19" s="8">
        <v>76.498900000000006</v>
      </c>
      <c r="I19" s="25" t="s">
        <v>34</v>
      </c>
      <c r="J19" s="15">
        <f t="shared" si="0"/>
        <v>6.5504209864455376E-3</v>
      </c>
      <c r="L19" s="13">
        <v>77</v>
      </c>
      <c r="M19" s="25" t="s">
        <v>34</v>
      </c>
      <c r="N19" s="8">
        <v>76.496899999999997</v>
      </c>
      <c r="O19" s="25" t="s">
        <v>34</v>
      </c>
      <c r="P19" s="15">
        <f t="shared" si="1"/>
        <v>6.5767370965359451E-3</v>
      </c>
    </row>
    <row r="20" spans="6:16" ht="15" thickBot="1" x14ac:dyDescent="0.35">
      <c r="F20" s="13">
        <v>82</v>
      </c>
      <c r="G20" s="25" t="s">
        <v>35</v>
      </c>
      <c r="H20" s="8">
        <v>82.328999999999994</v>
      </c>
      <c r="I20" s="28" t="s">
        <v>35</v>
      </c>
      <c r="J20" s="15">
        <f t="shared" si="0"/>
        <v>3.9961617413061257E-3</v>
      </c>
      <c r="L20" s="13">
        <v>82</v>
      </c>
      <c r="M20" s="25" t="s">
        <v>35</v>
      </c>
      <c r="N20" s="8">
        <v>82.107399999999998</v>
      </c>
      <c r="O20" s="25" t="s">
        <v>35</v>
      </c>
      <c r="P20" s="15">
        <f t="shared" si="1"/>
        <v>1.3080428804224109E-3</v>
      </c>
    </row>
    <row r="21" spans="6:16" ht="15" thickBot="1" x14ac:dyDescent="0.35">
      <c r="F21" s="13">
        <v>87</v>
      </c>
      <c r="G21" s="25" t="s">
        <v>36</v>
      </c>
      <c r="H21" s="8">
        <v>87.279799999999994</v>
      </c>
      <c r="I21" s="28" t="s">
        <v>36</v>
      </c>
      <c r="J21" s="15">
        <f t="shared" si="0"/>
        <v>3.2057818647612812E-3</v>
      </c>
      <c r="L21" s="13">
        <v>87</v>
      </c>
      <c r="M21" s="25" t="s">
        <v>36</v>
      </c>
      <c r="N21" s="8">
        <v>87.276399999999995</v>
      </c>
      <c r="O21" s="25" t="s">
        <v>36</v>
      </c>
      <c r="P21" s="15">
        <f t="shared" si="1"/>
        <v>3.1669500575183251E-3</v>
      </c>
    </row>
    <row r="22" spans="6:16" ht="15" thickBot="1" x14ac:dyDescent="0.35">
      <c r="F22" s="13">
        <v>92</v>
      </c>
      <c r="G22" s="25" t="s">
        <v>37</v>
      </c>
      <c r="H22" s="8">
        <v>91.090400000000002</v>
      </c>
      <c r="I22" s="25" t="s">
        <v>37</v>
      </c>
      <c r="J22" s="15">
        <f t="shared" si="0"/>
        <v>9.9856845507320102E-3</v>
      </c>
      <c r="L22" s="13">
        <v>92</v>
      </c>
      <c r="M22" s="25" t="s">
        <v>37</v>
      </c>
      <c r="N22" s="8">
        <v>91.147999999999996</v>
      </c>
      <c r="O22" s="25" t="s">
        <v>37</v>
      </c>
      <c r="P22" s="15">
        <f t="shared" si="1"/>
        <v>9.34743494097523E-3</v>
      </c>
    </row>
    <row r="23" spans="6:16" ht="15" thickBot="1" x14ac:dyDescent="0.35">
      <c r="F23" s="13">
        <v>98</v>
      </c>
      <c r="G23" s="25" t="s">
        <v>38</v>
      </c>
      <c r="H23" s="8">
        <v>98.674800000000005</v>
      </c>
      <c r="I23" s="28" t="s">
        <v>38</v>
      </c>
      <c r="J23" s="15">
        <f t="shared" si="0"/>
        <v>6.8386254646577438E-3</v>
      </c>
      <c r="L23" s="13">
        <v>98</v>
      </c>
      <c r="M23" s="25" t="s">
        <v>38</v>
      </c>
      <c r="N23" s="8">
        <v>98.676299999999998</v>
      </c>
      <c r="O23" s="25" t="s">
        <v>38</v>
      </c>
      <c r="P23" s="15">
        <f t="shared" si="1"/>
        <v>6.8537227277472024E-3</v>
      </c>
    </row>
    <row r="24" spans="6:16" ht="15" thickBot="1" x14ac:dyDescent="0.35">
      <c r="F24" s="13">
        <v>103</v>
      </c>
      <c r="G24" s="25" t="s">
        <v>39</v>
      </c>
      <c r="H24" s="8">
        <v>102.29810000000001</v>
      </c>
      <c r="I24" s="25" t="s">
        <v>39</v>
      </c>
      <c r="J24" s="15">
        <f t="shared" si="0"/>
        <v>6.8613200049658651E-3</v>
      </c>
      <c r="L24" s="13">
        <v>103</v>
      </c>
      <c r="M24" s="25" t="s">
        <v>39</v>
      </c>
      <c r="N24" s="8">
        <v>102.28579999999999</v>
      </c>
      <c r="O24" s="25" t="s">
        <v>39</v>
      </c>
      <c r="P24" s="15">
        <f t="shared" si="1"/>
        <v>6.9823963834667602E-3</v>
      </c>
    </row>
    <row r="25" spans="6:16" ht="15" thickBot="1" x14ac:dyDescent="0.35">
      <c r="F25" s="13">
        <v>110</v>
      </c>
      <c r="G25" s="25" t="s">
        <v>40</v>
      </c>
      <c r="H25" s="8">
        <v>110.7591</v>
      </c>
      <c r="I25" s="28" t="s">
        <v>40</v>
      </c>
      <c r="J25" s="15">
        <f t="shared" si="0"/>
        <v>6.8536129311271843E-3</v>
      </c>
      <c r="L25" s="13">
        <v>110</v>
      </c>
      <c r="M25" s="25" t="s">
        <v>40</v>
      </c>
      <c r="N25" s="8">
        <v>110.7542</v>
      </c>
      <c r="O25" s="25" t="s">
        <v>40</v>
      </c>
      <c r="P25" s="15">
        <f t="shared" si="1"/>
        <v>6.8096740349350426E-3</v>
      </c>
    </row>
    <row r="26" spans="6:16" ht="15" thickBot="1" x14ac:dyDescent="0.35">
      <c r="F26" s="13">
        <v>116</v>
      </c>
      <c r="G26" s="25" t="s">
        <v>41</v>
      </c>
      <c r="H26" s="8">
        <v>115.2119</v>
      </c>
      <c r="I26" s="25" t="s">
        <v>41</v>
      </c>
      <c r="J26" s="15">
        <f t="shared" si="0"/>
        <v>6.8404392254619584E-3</v>
      </c>
      <c r="L26" s="13">
        <v>116</v>
      </c>
      <c r="M26" s="25" t="s">
        <v>41</v>
      </c>
      <c r="N26" s="8">
        <v>115.2069</v>
      </c>
      <c r="O26" s="25" t="s">
        <v>41</v>
      </c>
      <c r="P26" s="15">
        <f t="shared" si="1"/>
        <v>6.8841362800318162E-3</v>
      </c>
    </row>
    <row r="27" spans="6:16" ht="15" thickBot="1" x14ac:dyDescent="0.35">
      <c r="F27" s="13">
        <v>123</v>
      </c>
      <c r="G27" s="25" t="s">
        <v>42</v>
      </c>
      <c r="H27" s="8">
        <v>123.6845</v>
      </c>
      <c r="I27" s="25" t="s">
        <v>42</v>
      </c>
      <c r="J27" s="15">
        <f t="shared" si="0"/>
        <v>5.534242366666775E-3</v>
      </c>
      <c r="L27" s="13">
        <v>123</v>
      </c>
      <c r="M27" s="25" t="s">
        <v>42</v>
      </c>
      <c r="N27" s="8">
        <v>123.697</v>
      </c>
      <c r="O27" s="25" t="s">
        <v>42</v>
      </c>
      <c r="P27" s="15">
        <f t="shared" si="1"/>
        <v>5.634736493205228E-3</v>
      </c>
    </row>
    <row r="28" spans="6:16" ht="15" thickBot="1" x14ac:dyDescent="0.35">
      <c r="F28" s="13">
        <v>130</v>
      </c>
      <c r="G28" s="24" t="s">
        <v>43</v>
      </c>
      <c r="H28" s="8">
        <v>129.1464</v>
      </c>
      <c r="I28" s="28" t="s">
        <v>43</v>
      </c>
      <c r="J28" s="15">
        <f t="shared" si="0"/>
        <v>6.609553189248718E-3</v>
      </c>
      <c r="L28" s="13">
        <v>130</v>
      </c>
      <c r="M28" s="24" t="s">
        <v>43</v>
      </c>
      <c r="N28" s="8">
        <v>129.1172</v>
      </c>
      <c r="O28" s="24" t="s">
        <v>43</v>
      </c>
      <c r="P28" s="15">
        <f t="shared" si="1"/>
        <v>6.8371990718509856E-3</v>
      </c>
    </row>
    <row r="29" spans="6:16" ht="15" thickBot="1" x14ac:dyDescent="0.35">
      <c r="F29" s="13">
        <v>138</v>
      </c>
      <c r="G29" s="25" t="s">
        <v>44</v>
      </c>
      <c r="H29" s="8">
        <v>138.04419999999999</v>
      </c>
      <c r="I29" s="25" t="s">
        <v>44</v>
      </c>
      <c r="J29" s="15">
        <f t="shared" si="0"/>
        <v>3.2018730232774573E-4</v>
      </c>
      <c r="L29" s="13">
        <v>138</v>
      </c>
      <c r="M29" s="25" t="s">
        <v>44</v>
      </c>
      <c r="N29" s="8">
        <v>138.04179999999999</v>
      </c>
      <c r="O29" s="25" t="s">
        <v>44</v>
      </c>
      <c r="P29" s="15">
        <f t="shared" si="1"/>
        <v>3.0280683097438921E-4</v>
      </c>
    </row>
    <row r="30" spans="6:16" ht="15" thickBot="1" x14ac:dyDescent="0.35">
      <c r="F30" s="13">
        <v>146</v>
      </c>
      <c r="G30" s="25" t="s">
        <v>45</v>
      </c>
      <c r="H30" s="8">
        <v>146.6848</v>
      </c>
      <c r="I30" s="28" t="s">
        <v>45</v>
      </c>
      <c r="J30" s="15">
        <f t="shared" si="0"/>
        <v>4.6685137110320518E-3</v>
      </c>
      <c r="L30" s="13">
        <v>146</v>
      </c>
      <c r="M30" s="25" t="s">
        <v>45</v>
      </c>
      <c r="N30" s="8">
        <v>146.75370000000001</v>
      </c>
      <c r="O30" s="25" t="s">
        <v>45</v>
      </c>
      <c r="P30" s="15">
        <f t="shared" si="1"/>
        <v>5.1358159964621786E-3</v>
      </c>
    </row>
    <row r="31" spans="6:16" ht="15" thickBot="1" x14ac:dyDescent="0.35">
      <c r="F31" s="13">
        <v>155</v>
      </c>
      <c r="G31" s="25" t="s">
        <v>46</v>
      </c>
      <c r="H31" s="8">
        <v>154.1309</v>
      </c>
      <c r="I31" s="25" t="s">
        <v>46</v>
      </c>
      <c r="J31" s="15">
        <f t="shared" si="0"/>
        <v>5.6387135869575555E-3</v>
      </c>
      <c r="L31" s="13">
        <v>155</v>
      </c>
      <c r="M31" s="25" t="s">
        <v>46</v>
      </c>
      <c r="N31" s="8">
        <v>154.08189999999999</v>
      </c>
      <c r="O31" s="25" t="s">
        <v>46</v>
      </c>
      <c r="P31" s="15">
        <f t="shared" si="1"/>
        <v>5.9585194627014282E-3</v>
      </c>
    </row>
    <row r="32" spans="6:16" ht="15" thickBot="1" x14ac:dyDescent="0.35">
      <c r="F32" s="13">
        <v>164</v>
      </c>
      <c r="G32" s="25" t="s">
        <v>47</v>
      </c>
      <c r="H32" s="8">
        <v>163.76920000000001</v>
      </c>
      <c r="I32" s="25" t="s">
        <v>47</v>
      </c>
      <c r="J32" s="15">
        <f t="shared" si="0"/>
        <v>1.4093004056927594E-3</v>
      </c>
      <c r="L32" s="13">
        <v>164</v>
      </c>
      <c r="M32" s="25" t="s">
        <v>47</v>
      </c>
      <c r="N32" s="8">
        <v>163.7595</v>
      </c>
      <c r="O32" s="25" t="s">
        <v>47</v>
      </c>
      <c r="P32" s="15">
        <f t="shared" si="1"/>
        <v>1.4686170878634996E-3</v>
      </c>
    </row>
    <row r="33" spans="6:16" ht="15" thickBot="1" x14ac:dyDescent="0.35">
      <c r="F33" s="13">
        <v>174</v>
      </c>
      <c r="G33" s="25" t="s">
        <v>48</v>
      </c>
      <c r="H33" s="8">
        <v>174.52709999999999</v>
      </c>
      <c r="I33" s="25" t="s">
        <v>48</v>
      </c>
      <c r="J33" s="15">
        <f t="shared" si="0"/>
        <v>3.0201613388407544E-3</v>
      </c>
      <c r="L33" s="13">
        <v>174</v>
      </c>
      <c r="M33" s="25" t="s">
        <v>48</v>
      </c>
      <c r="N33" s="8">
        <v>174.529</v>
      </c>
      <c r="O33" s="25" t="s">
        <v>48</v>
      </c>
      <c r="P33" s="15">
        <f t="shared" si="1"/>
        <v>3.0310149029674216E-3</v>
      </c>
    </row>
    <row r="34" spans="6:16" ht="15" thickBot="1" x14ac:dyDescent="0.35">
      <c r="F34" s="13">
        <v>185</v>
      </c>
      <c r="G34" s="25" t="s">
        <v>49</v>
      </c>
      <c r="H34" s="8">
        <v>185.7799</v>
      </c>
      <c r="I34" s="25" t="s">
        <v>49</v>
      </c>
      <c r="J34" s="15">
        <f t="shared" si="0"/>
        <v>4.1979783604146892E-3</v>
      </c>
      <c r="L34" s="13">
        <v>185</v>
      </c>
      <c r="M34" s="25" t="s">
        <v>49</v>
      </c>
      <c r="N34" s="8">
        <v>185.78700000000001</v>
      </c>
      <c r="O34" s="25" t="s">
        <v>49</v>
      </c>
      <c r="P34" s="15">
        <f t="shared" si="1"/>
        <v>4.2360337375597634E-3</v>
      </c>
    </row>
    <row r="35" spans="6:16" ht="15" thickBot="1" x14ac:dyDescent="0.35">
      <c r="F35" s="13">
        <v>196</v>
      </c>
      <c r="G35" s="25" t="s">
        <v>50</v>
      </c>
      <c r="H35" s="8">
        <v>196.6635</v>
      </c>
      <c r="I35" s="28" t="s">
        <v>50</v>
      </c>
      <c r="J35" s="15">
        <f t="shared" si="0"/>
        <v>3.3737831371860594E-3</v>
      </c>
      <c r="L35" s="13">
        <v>196</v>
      </c>
      <c r="M35" s="25" t="s">
        <v>50</v>
      </c>
      <c r="N35" s="8">
        <v>196.60059999999999</v>
      </c>
      <c r="O35" s="25" t="s">
        <v>50</v>
      </c>
      <c r="P35" s="15">
        <f t="shared" si="1"/>
        <v>3.0549245526207969E-3</v>
      </c>
    </row>
    <row r="36" spans="6:16" ht="15" thickBot="1" x14ac:dyDescent="0.35">
      <c r="F36" s="13">
        <v>207</v>
      </c>
      <c r="G36" s="25" t="s">
        <v>51</v>
      </c>
      <c r="H36" s="8">
        <v>206.65979999999999</v>
      </c>
      <c r="I36" s="25" t="s">
        <v>51</v>
      </c>
      <c r="J36" s="15">
        <f t="shared" si="0"/>
        <v>1.6461837280401515E-3</v>
      </c>
      <c r="L36" s="13">
        <v>207</v>
      </c>
      <c r="M36" s="25" t="s">
        <v>51</v>
      </c>
      <c r="N36" s="8">
        <v>206.6891</v>
      </c>
      <c r="O36" s="25" t="s">
        <v>51</v>
      </c>
      <c r="P36" s="15">
        <f t="shared" si="1"/>
        <v>1.5041915611417878E-3</v>
      </c>
    </row>
    <row r="37" spans="6:16" ht="15" thickBot="1" x14ac:dyDescent="0.35">
      <c r="F37" s="13">
        <v>220</v>
      </c>
      <c r="G37" s="25" t="s">
        <v>52</v>
      </c>
      <c r="H37" s="8">
        <v>219.9871</v>
      </c>
      <c r="I37" s="28" t="s">
        <v>52</v>
      </c>
      <c r="J37" s="15">
        <f t="shared" si="0"/>
        <v>5.8639802061222213E-5</v>
      </c>
      <c r="L37" s="13">
        <v>220</v>
      </c>
      <c r="M37" s="25" t="s">
        <v>52</v>
      </c>
      <c r="N37" s="8">
        <v>219.9417</v>
      </c>
      <c r="O37" s="25" t="s">
        <v>52</v>
      </c>
      <c r="P37" s="15">
        <f t="shared" si="1"/>
        <v>2.6507024361466236E-4</v>
      </c>
    </row>
    <row r="38" spans="6:16" ht="15" thickBot="1" x14ac:dyDescent="0.35">
      <c r="F38" s="13">
        <v>233</v>
      </c>
      <c r="G38" s="25" t="s">
        <v>53</v>
      </c>
      <c r="H38" s="8">
        <v>233.2971</v>
      </c>
      <c r="I38" s="25" t="s">
        <v>53</v>
      </c>
      <c r="J38" s="15">
        <f t="shared" si="0"/>
        <v>1.2734834680756535E-3</v>
      </c>
      <c r="L38" s="13">
        <v>233</v>
      </c>
      <c r="M38" s="25" t="s">
        <v>53</v>
      </c>
      <c r="N38" s="8">
        <v>233.33459999999999</v>
      </c>
      <c r="O38" s="25" t="s">
        <v>53</v>
      </c>
      <c r="P38" s="15">
        <f t="shared" si="1"/>
        <v>1.4339922154708029E-3</v>
      </c>
    </row>
    <row r="39" spans="6:16" ht="15" thickBot="1" x14ac:dyDescent="0.35">
      <c r="F39" s="13">
        <v>246</v>
      </c>
      <c r="G39" s="25" t="s">
        <v>54</v>
      </c>
      <c r="H39" s="8">
        <v>246.50559999999999</v>
      </c>
      <c r="I39" s="25" t="s">
        <v>54</v>
      </c>
      <c r="J39" s="15">
        <f t="shared" si="0"/>
        <v>2.0510690223669581E-3</v>
      </c>
      <c r="L39" s="13">
        <v>246</v>
      </c>
      <c r="M39" s="25" t="s">
        <v>54</v>
      </c>
      <c r="N39" s="8">
        <v>246.50620000000001</v>
      </c>
      <c r="O39" s="25" t="s">
        <v>54</v>
      </c>
      <c r="P39" s="15">
        <f t="shared" si="1"/>
        <v>2.0534980458909446E-3</v>
      </c>
    </row>
    <row r="40" spans="6:16" ht="15" thickBot="1" x14ac:dyDescent="0.35">
      <c r="F40" s="13">
        <v>261</v>
      </c>
      <c r="G40" s="24" t="s">
        <v>55</v>
      </c>
      <c r="H40" s="8">
        <v>261.70479999999998</v>
      </c>
      <c r="I40" s="28" t="s">
        <v>55</v>
      </c>
      <c r="J40" s="15">
        <f t="shared" si="0"/>
        <v>2.6931107109995356E-3</v>
      </c>
      <c r="L40" s="13">
        <v>261</v>
      </c>
      <c r="M40" s="24" t="s">
        <v>55</v>
      </c>
      <c r="N40" s="8">
        <v>261.69850000000002</v>
      </c>
      <c r="O40" s="24" t="s">
        <v>55</v>
      </c>
      <c r="P40" s="15">
        <f t="shared" si="1"/>
        <v>2.6691020391788056E-3</v>
      </c>
    </row>
    <row r="41" spans="6:16" ht="15" thickBot="1" x14ac:dyDescent="0.35">
      <c r="F41" s="13">
        <v>277</v>
      </c>
      <c r="G41" s="25" t="s">
        <v>56</v>
      </c>
      <c r="H41" s="8">
        <v>276.77080000000001</v>
      </c>
      <c r="I41" s="25" t="s">
        <v>56</v>
      </c>
      <c r="J41" s="15">
        <f t="shared" si="0"/>
        <v>8.281220417760693E-4</v>
      </c>
      <c r="L41" s="13">
        <v>277</v>
      </c>
      <c r="M41" s="25" t="s">
        <v>56</v>
      </c>
      <c r="N41" s="8">
        <v>276.77100000000002</v>
      </c>
      <c r="O41" s="25" t="s">
        <v>56</v>
      </c>
      <c r="P41" s="15">
        <f t="shared" si="1"/>
        <v>8.273988242988306E-4</v>
      </c>
    </row>
    <row r="42" spans="6:16" ht="15" thickBot="1" x14ac:dyDescent="0.35">
      <c r="F42" s="13">
        <v>293</v>
      </c>
      <c r="G42" s="25" t="s">
        <v>57</v>
      </c>
      <c r="H42" s="8">
        <v>292.06110000000001</v>
      </c>
      <c r="I42" s="28" t="s">
        <v>57</v>
      </c>
      <c r="J42" s="15">
        <f t="shared" si="0"/>
        <v>3.2147382859271101E-3</v>
      </c>
      <c r="L42" s="13">
        <v>293</v>
      </c>
      <c r="M42" s="25" t="s">
        <v>57</v>
      </c>
      <c r="N42" s="8">
        <v>292.05579999999998</v>
      </c>
      <c r="O42" s="25" t="s">
        <v>57</v>
      </c>
      <c r="P42" s="15">
        <f t="shared" si="1"/>
        <v>3.2329438415537037E-3</v>
      </c>
    </row>
    <row r="43" spans="6:16" ht="15" thickBot="1" x14ac:dyDescent="0.35">
      <c r="F43" s="13">
        <v>311</v>
      </c>
      <c r="G43" s="25" t="s">
        <v>58</v>
      </c>
      <c r="H43" s="8">
        <v>311.72359999999998</v>
      </c>
      <c r="I43" s="25" t="s">
        <v>58</v>
      </c>
      <c r="J43" s="15">
        <f t="shared" si="0"/>
        <v>2.3212871916017397E-3</v>
      </c>
      <c r="L43" s="13">
        <v>311</v>
      </c>
      <c r="M43" s="25" t="s">
        <v>58</v>
      </c>
      <c r="N43" s="8">
        <v>311.72320000000002</v>
      </c>
      <c r="O43" s="25" t="s">
        <v>58</v>
      </c>
      <c r="P43" s="15">
        <f t="shared" si="1"/>
        <v>2.320006980552014E-3</v>
      </c>
    </row>
    <row r="44" spans="6:16" ht="15" thickBot="1" x14ac:dyDescent="0.35">
      <c r="F44" s="13">
        <v>329</v>
      </c>
      <c r="G44" s="25" t="s">
        <v>59</v>
      </c>
      <c r="H44" s="8">
        <v>328.27449999999999</v>
      </c>
      <c r="I44" s="25" t="s">
        <v>59</v>
      </c>
      <c r="J44" s="15">
        <f t="shared" si="0"/>
        <v>2.210040682416814E-3</v>
      </c>
      <c r="L44" s="13">
        <v>329</v>
      </c>
      <c r="M44" s="25" t="s">
        <v>59</v>
      </c>
      <c r="N44" s="8">
        <v>328.2715</v>
      </c>
      <c r="O44" s="25" t="s">
        <v>59</v>
      </c>
      <c r="P44" s="15">
        <f t="shared" si="1"/>
        <v>2.2191996563820648E-3</v>
      </c>
    </row>
    <row r="45" spans="6:16" ht="15" thickBot="1" x14ac:dyDescent="0.35">
      <c r="F45" s="13">
        <v>349</v>
      </c>
      <c r="G45" s="25" t="s">
        <v>60</v>
      </c>
      <c r="H45" s="8">
        <v>349.6771</v>
      </c>
      <c r="I45" s="28" t="s">
        <v>60</v>
      </c>
      <c r="J45" s="15">
        <f t="shared" si="0"/>
        <v>1.9363578570057438E-3</v>
      </c>
      <c r="L45" s="13">
        <v>349</v>
      </c>
      <c r="M45" s="25" t="s">
        <v>60</v>
      </c>
      <c r="N45" s="8">
        <v>349.67360000000002</v>
      </c>
      <c r="O45" s="28" t="s">
        <v>60</v>
      </c>
      <c r="P45" s="15">
        <f t="shared" si="1"/>
        <v>1.9263679042399451E-3</v>
      </c>
    </row>
    <row r="46" spans="6:16" ht="15" thickBot="1" x14ac:dyDescent="0.35">
      <c r="F46" s="13">
        <v>369</v>
      </c>
      <c r="G46" s="25" t="s">
        <v>61</v>
      </c>
      <c r="H46" s="8">
        <v>368.09739999999999</v>
      </c>
      <c r="I46" s="25" t="s">
        <v>61</v>
      </c>
      <c r="J46" s="15">
        <f t="shared" si="0"/>
        <v>2.4520683927677922E-3</v>
      </c>
      <c r="L46" s="13">
        <v>369</v>
      </c>
      <c r="M46" s="25" t="s">
        <v>61</v>
      </c>
      <c r="N46" s="8">
        <v>368.07960000000003</v>
      </c>
      <c r="O46" s="25" t="s">
        <v>61</v>
      </c>
      <c r="P46" s="15">
        <f t="shared" si="1"/>
        <v>2.500546077533139E-3</v>
      </c>
    </row>
    <row r="47" spans="6:16" ht="15" thickBot="1" x14ac:dyDescent="0.35">
      <c r="F47" s="13">
        <v>392</v>
      </c>
      <c r="G47" s="25" t="s">
        <v>62</v>
      </c>
      <c r="H47" s="8">
        <v>391.22930000000002</v>
      </c>
      <c r="I47" s="28" t="s">
        <v>62</v>
      </c>
      <c r="J47" s="15">
        <f t="shared" si="0"/>
        <v>1.9699444801295485E-3</v>
      </c>
      <c r="L47" s="13">
        <v>392</v>
      </c>
      <c r="M47" s="25" t="s">
        <v>62</v>
      </c>
      <c r="N47" s="8">
        <v>391.23059999999998</v>
      </c>
      <c r="O47" s="28" t="s">
        <v>62</v>
      </c>
      <c r="P47" s="15">
        <f t="shared" si="1"/>
        <v>1.9666150858344E-3</v>
      </c>
    </row>
    <row r="48" spans="6:16" ht="15" thickBot="1" x14ac:dyDescent="0.35">
      <c r="F48" s="13">
        <v>415</v>
      </c>
      <c r="G48" s="25" t="s">
        <v>63</v>
      </c>
      <c r="H48" s="8">
        <v>414.8168</v>
      </c>
      <c r="I48" s="25" t="s">
        <v>63</v>
      </c>
      <c r="J48" s="15">
        <f t="shared" si="0"/>
        <v>4.4164074357633254E-4</v>
      </c>
      <c r="L48" s="13">
        <v>415</v>
      </c>
      <c r="M48" s="25" t="s">
        <v>63</v>
      </c>
      <c r="N48" s="8">
        <v>414.81389999999999</v>
      </c>
      <c r="O48" s="25" t="s">
        <v>63</v>
      </c>
      <c r="P48" s="15">
        <f t="shared" si="1"/>
        <v>4.4863491797175747E-4</v>
      </c>
    </row>
    <row r="49" spans="6:16" ht="15" thickBot="1" x14ac:dyDescent="0.35">
      <c r="F49" s="13">
        <v>440</v>
      </c>
      <c r="G49" s="25" t="s">
        <v>64</v>
      </c>
      <c r="H49" s="8">
        <v>439.85079999999999</v>
      </c>
      <c r="I49" s="28" t="s">
        <v>64</v>
      </c>
      <c r="J49" s="15">
        <f t="shared" si="0"/>
        <v>3.3920593073832883E-4</v>
      </c>
      <c r="L49" s="13">
        <v>440</v>
      </c>
      <c r="M49" s="25" t="s">
        <v>64</v>
      </c>
      <c r="N49" s="8">
        <v>439.8467</v>
      </c>
      <c r="O49" s="28" t="s">
        <v>64</v>
      </c>
      <c r="P49" s="15">
        <f t="shared" si="1"/>
        <v>3.485305221113677E-4</v>
      </c>
    </row>
    <row r="50" spans="6:16" ht="15" thickBot="1" x14ac:dyDescent="0.35">
      <c r="F50" s="13">
        <v>466</v>
      </c>
      <c r="G50" s="25" t="s">
        <v>65</v>
      </c>
      <c r="H50" s="8">
        <v>465.58640000000003</v>
      </c>
      <c r="I50" s="25" t="s">
        <v>65</v>
      </c>
      <c r="J50" s="15">
        <f t="shared" si="0"/>
        <v>8.8834209933952302E-4</v>
      </c>
      <c r="L50" s="13">
        <v>466</v>
      </c>
      <c r="M50" s="25" t="s">
        <v>65</v>
      </c>
      <c r="N50" s="8">
        <v>465.55930000000001</v>
      </c>
      <c r="O50" s="25" t="s">
        <v>65</v>
      </c>
      <c r="P50" s="15">
        <f t="shared" si="1"/>
        <v>9.466033650278316E-4</v>
      </c>
    </row>
    <row r="51" spans="6:16" ht="15" thickBot="1" x14ac:dyDescent="0.35">
      <c r="F51" s="13">
        <v>493</v>
      </c>
      <c r="G51" s="25" t="s">
        <v>66</v>
      </c>
      <c r="H51" s="8">
        <v>492.113</v>
      </c>
      <c r="I51" s="25" t="s">
        <v>66</v>
      </c>
      <c r="J51" s="15">
        <f t="shared" si="0"/>
        <v>1.8024315553542003E-3</v>
      </c>
      <c r="L51" s="13">
        <v>493</v>
      </c>
      <c r="M51" s="25" t="s">
        <v>66</v>
      </c>
      <c r="N51" s="8">
        <v>492.1071</v>
      </c>
      <c r="O51" s="25" t="s">
        <v>66</v>
      </c>
      <c r="P51" s="15">
        <f t="shared" si="1"/>
        <v>1.8144424252362068E-3</v>
      </c>
    </row>
    <row r="52" spans="6:16" ht="15" thickBot="1" x14ac:dyDescent="0.35">
      <c r="F52" s="13">
        <v>523</v>
      </c>
      <c r="G52" s="24" t="s">
        <v>67</v>
      </c>
      <c r="H52" s="8">
        <v>523.60289999999998</v>
      </c>
      <c r="I52" s="24" t="s">
        <v>67</v>
      </c>
      <c r="J52" s="15">
        <f t="shared" si="0"/>
        <v>1.1514451123169067E-3</v>
      </c>
      <c r="L52" s="13">
        <v>523</v>
      </c>
      <c r="M52" s="24" t="s">
        <v>67</v>
      </c>
      <c r="N52" s="8">
        <v>523.56190000000004</v>
      </c>
      <c r="O52" s="24" t="s">
        <v>67</v>
      </c>
      <c r="P52" s="15">
        <f t="shared" si="1"/>
        <v>1.0732255345548003E-3</v>
      </c>
    </row>
    <row r="53" spans="6:16" ht="15" thickBot="1" x14ac:dyDescent="0.35">
      <c r="F53" s="13">
        <v>554</v>
      </c>
      <c r="G53" s="25" t="s">
        <v>68</v>
      </c>
      <c r="H53" s="8">
        <v>553.55110000000002</v>
      </c>
      <c r="I53" s="25" t="s">
        <v>68</v>
      </c>
      <c r="J53" s="15">
        <f t="shared" si="0"/>
        <v>8.1094590905883557E-4</v>
      </c>
      <c r="L53" s="13">
        <v>554</v>
      </c>
      <c r="M53" s="25" t="s">
        <v>68</v>
      </c>
      <c r="N53" s="8">
        <v>553.54349999999999</v>
      </c>
      <c r="O53" s="25" t="s">
        <v>68</v>
      </c>
      <c r="P53" s="15">
        <f t="shared" si="1"/>
        <v>8.2468676806790597E-4</v>
      </c>
    </row>
    <row r="54" spans="6:16" ht="15" thickBot="1" x14ac:dyDescent="0.35">
      <c r="F54" s="13">
        <v>587</v>
      </c>
      <c r="G54" s="25" t="s">
        <v>69</v>
      </c>
      <c r="H54" s="8">
        <v>587.70749999999998</v>
      </c>
      <c r="I54" s="25" t="s">
        <v>69</v>
      </c>
      <c r="J54" s="15">
        <f t="shared" si="0"/>
        <v>1.2038301365899784E-3</v>
      </c>
      <c r="L54" s="13">
        <v>587</v>
      </c>
      <c r="M54" s="25" t="s">
        <v>69</v>
      </c>
      <c r="N54" s="8">
        <v>587.66399999999999</v>
      </c>
      <c r="O54" s="25" t="s">
        <v>69</v>
      </c>
      <c r="P54" s="15">
        <f t="shared" si="1"/>
        <v>1.1298973563124148E-3</v>
      </c>
    </row>
    <row r="55" spans="6:16" ht="15" thickBot="1" x14ac:dyDescent="0.35">
      <c r="F55" s="13">
        <v>622</v>
      </c>
      <c r="G55" s="25" t="s">
        <v>70</v>
      </c>
      <c r="H55" s="8">
        <v>621.726</v>
      </c>
      <c r="I55" s="25" t="s">
        <v>70</v>
      </c>
      <c r="J55" s="15">
        <f t="shared" si="0"/>
        <v>4.4070860797207345E-4</v>
      </c>
      <c r="L55" s="13">
        <v>622</v>
      </c>
      <c r="M55" s="25" t="s">
        <v>70</v>
      </c>
      <c r="N55" s="8">
        <v>621.63559999999995</v>
      </c>
      <c r="O55" s="25" t="s">
        <v>70</v>
      </c>
      <c r="P55" s="15">
        <f t="shared" si="1"/>
        <v>5.8619551389926805E-4</v>
      </c>
    </row>
    <row r="56" spans="6:16" ht="15" thickBot="1" x14ac:dyDescent="0.35">
      <c r="F56" s="13">
        <v>659</v>
      </c>
      <c r="G56" s="25" t="s">
        <v>71</v>
      </c>
      <c r="H56" s="8">
        <v>658.27390000000003</v>
      </c>
      <c r="I56" s="25" t="s">
        <v>71</v>
      </c>
      <c r="J56" s="15">
        <f t="shared" si="0"/>
        <v>1.1030362893014178E-3</v>
      </c>
      <c r="L56" s="13">
        <v>659</v>
      </c>
      <c r="M56" s="25" t="s">
        <v>71</v>
      </c>
      <c r="N56" s="8">
        <v>658.27369999999996</v>
      </c>
      <c r="O56" s="25" t="s">
        <v>71</v>
      </c>
      <c r="P56" s="15">
        <f t="shared" si="1"/>
        <v>1.1033404494209531E-3</v>
      </c>
    </row>
    <row r="57" spans="6:16" ht="15" thickBot="1" x14ac:dyDescent="0.35">
      <c r="F57" s="13">
        <v>698</v>
      </c>
      <c r="G57" s="25" t="s">
        <v>72</v>
      </c>
      <c r="H57" s="8">
        <v>698.16600000000005</v>
      </c>
      <c r="I57" s="25" t="s">
        <v>72</v>
      </c>
      <c r="J57" s="15">
        <f t="shared" si="0"/>
        <v>2.3776580354828436E-4</v>
      </c>
      <c r="L57" s="13">
        <v>698</v>
      </c>
      <c r="M57" s="25" t="s">
        <v>72</v>
      </c>
      <c r="N57" s="8">
        <v>698.11</v>
      </c>
      <c r="O57" s="25" t="s">
        <v>72</v>
      </c>
      <c r="P57" s="15">
        <f t="shared" si="1"/>
        <v>1.5756829153001917E-4</v>
      </c>
    </row>
    <row r="58" spans="6:16" ht="15" thickBot="1" x14ac:dyDescent="0.35">
      <c r="F58" s="13">
        <v>739</v>
      </c>
      <c r="G58" s="25" t="s">
        <v>73</v>
      </c>
      <c r="H58" s="8">
        <v>739.52120000000002</v>
      </c>
      <c r="I58" s="25" t="s">
        <v>73</v>
      </c>
      <c r="J58" s="15">
        <f t="shared" si="0"/>
        <v>7.0478033624998826E-4</v>
      </c>
      <c r="L58" s="13">
        <v>739</v>
      </c>
      <c r="M58" s="25" t="s">
        <v>73</v>
      </c>
      <c r="N58" s="8">
        <v>739.49469999999997</v>
      </c>
      <c r="O58" s="25" t="s">
        <v>73</v>
      </c>
      <c r="P58" s="15">
        <f t="shared" si="1"/>
        <v>6.689703117547241E-4</v>
      </c>
    </row>
    <row r="59" spans="6:16" ht="15" thickBot="1" x14ac:dyDescent="0.35">
      <c r="F59" s="13">
        <v>783</v>
      </c>
      <c r="G59" s="25" t="s">
        <v>74</v>
      </c>
      <c r="H59" s="8">
        <v>781.93320000000006</v>
      </c>
      <c r="I59" s="25" t="s">
        <v>74</v>
      </c>
      <c r="J59" s="15">
        <f t="shared" si="0"/>
        <v>1.3643109155614397E-3</v>
      </c>
      <c r="L59" s="13">
        <v>783</v>
      </c>
      <c r="M59" s="25" t="s">
        <v>74</v>
      </c>
      <c r="N59" s="8">
        <v>781.89570000000003</v>
      </c>
      <c r="O59" s="25" t="s">
        <v>74</v>
      </c>
      <c r="P59" s="15">
        <f t="shared" si="1"/>
        <v>1.41233670935903E-3</v>
      </c>
    </row>
    <row r="60" spans="6:16" ht="15" thickBot="1" x14ac:dyDescent="0.35">
      <c r="F60" s="13">
        <v>830</v>
      </c>
      <c r="G60" s="25" t="s">
        <v>75</v>
      </c>
      <c r="H60" s="8">
        <v>829.60389999999995</v>
      </c>
      <c r="I60" s="25" t="s">
        <v>75</v>
      </c>
      <c r="J60" s="15">
        <f t="shared" si="0"/>
        <v>4.7745677184019009E-4</v>
      </c>
      <c r="L60" s="13">
        <v>830</v>
      </c>
      <c r="M60" s="25" t="s">
        <v>75</v>
      </c>
      <c r="N60" s="8">
        <v>829.62810000000002</v>
      </c>
      <c r="O60" s="25" t="s">
        <v>75</v>
      </c>
      <c r="P60" s="15">
        <f t="shared" si="1"/>
        <v>4.4827314793227657E-4</v>
      </c>
    </row>
    <row r="61" spans="6:16" ht="15" thickBot="1" x14ac:dyDescent="0.35">
      <c r="F61" s="13">
        <v>880</v>
      </c>
      <c r="G61" s="25" t="s">
        <v>76</v>
      </c>
      <c r="H61" s="8">
        <v>879.6979</v>
      </c>
      <c r="I61" s="25" t="s">
        <v>76</v>
      </c>
      <c r="J61" s="15">
        <f t="shared" si="0"/>
        <v>3.434133467863365E-4</v>
      </c>
      <c r="L61" s="13">
        <v>880</v>
      </c>
      <c r="M61" s="25" t="s">
        <v>76</v>
      </c>
      <c r="N61" s="8">
        <v>879.69410000000005</v>
      </c>
      <c r="O61" s="25" t="s">
        <v>76</v>
      </c>
      <c r="P61" s="15">
        <f t="shared" si="1"/>
        <v>3.4773451362224428E-4</v>
      </c>
    </row>
    <row r="62" spans="6:16" ht="15" thickBot="1" x14ac:dyDescent="0.35">
      <c r="F62" s="13">
        <v>932</v>
      </c>
      <c r="G62" s="25" t="s">
        <v>77</v>
      </c>
      <c r="H62" s="8">
        <v>931.19140000000004</v>
      </c>
      <c r="I62" s="25" t="s">
        <v>77</v>
      </c>
      <c r="J62" s="15">
        <f t="shared" si="0"/>
        <v>8.6834994395346143E-4</v>
      </c>
      <c r="L62" s="13">
        <v>932</v>
      </c>
      <c r="M62" s="25" t="s">
        <v>77</v>
      </c>
      <c r="N62" s="8">
        <v>931.15279999999996</v>
      </c>
      <c r="O62" s="25" t="s">
        <v>77</v>
      </c>
      <c r="P62" s="15">
        <f t="shared" si="1"/>
        <v>9.0983993174909017E-4</v>
      </c>
    </row>
    <row r="63" spans="6:16" ht="15" thickBot="1" x14ac:dyDescent="0.35">
      <c r="F63" s="13">
        <v>987</v>
      </c>
      <c r="G63" s="25" t="s">
        <v>78</v>
      </c>
      <c r="H63" s="8">
        <v>986.94830000000002</v>
      </c>
      <c r="I63" s="25" t="s">
        <v>78</v>
      </c>
      <c r="J63" s="15">
        <f t="shared" si="0"/>
        <v>5.2383696288904602E-5</v>
      </c>
      <c r="L63" s="13">
        <v>987</v>
      </c>
      <c r="M63" s="25" t="s">
        <v>78</v>
      </c>
      <c r="N63" s="8">
        <v>986.9289</v>
      </c>
      <c r="O63" s="25" t="s">
        <v>78</v>
      </c>
      <c r="P63" s="15">
        <f t="shared" si="1"/>
        <v>7.204166379159993E-5</v>
      </c>
    </row>
    <row r="64" spans="6:16" ht="15" thickBot="1" x14ac:dyDescent="0.35">
      <c r="F64" s="13">
        <v>1046</v>
      </c>
      <c r="G64" s="24" t="s">
        <v>79</v>
      </c>
      <c r="H64" s="8">
        <v>1044.9739</v>
      </c>
      <c r="I64" s="24" t="s">
        <v>79</v>
      </c>
      <c r="J64" s="15">
        <f t="shared" si="0"/>
        <v>9.8193840056670645E-4</v>
      </c>
      <c r="L64" s="13">
        <v>1046</v>
      </c>
      <c r="M64" s="24" t="s">
        <v>79</v>
      </c>
      <c r="N64" s="8">
        <v>1044.9503999999999</v>
      </c>
      <c r="O64" s="24" t="s">
        <v>79</v>
      </c>
      <c r="P64" s="15">
        <f t="shared" si="1"/>
        <v>1.0044495891863292E-3</v>
      </c>
    </row>
    <row r="65" spans="6:16" ht="15" thickBot="1" x14ac:dyDescent="0.35">
      <c r="F65" s="13">
        <v>1108</v>
      </c>
      <c r="G65" s="25" t="s">
        <v>80</v>
      </c>
      <c r="H65" s="8">
        <v>1107.127</v>
      </c>
      <c r="I65" s="25" t="s">
        <v>80</v>
      </c>
      <c r="J65" s="15">
        <f t="shared" si="0"/>
        <v>7.8852742277990551E-4</v>
      </c>
      <c r="L65" s="13">
        <v>1108</v>
      </c>
      <c r="M65" s="25" t="s">
        <v>80</v>
      </c>
      <c r="N65" s="8">
        <v>1107.1283000000001</v>
      </c>
      <c r="O65" s="25" t="s">
        <v>80</v>
      </c>
      <c r="P65" s="15">
        <f t="shared" si="1"/>
        <v>7.8735228789650336E-4</v>
      </c>
    </row>
    <row r="66" spans="6:16" ht="15" thickBot="1" x14ac:dyDescent="0.35">
      <c r="F66" s="13">
        <v>1174</v>
      </c>
      <c r="G66" s="25" t="s">
        <v>81</v>
      </c>
      <c r="H66" s="8">
        <v>1173.0337</v>
      </c>
      <c r="I66" s="25" t="s">
        <v>81</v>
      </c>
      <c r="J66" s="15">
        <f t="shared" si="0"/>
        <v>8.2376149977614332E-4</v>
      </c>
      <c r="L66" s="13">
        <v>1174</v>
      </c>
      <c r="M66" s="25" t="s">
        <v>81</v>
      </c>
      <c r="N66" s="8">
        <v>1173.0108</v>
      </c>
      <c r="O66" s="25" t="s">
        <v>81</v>
      </c>
      <c r="P66" s="15">
        <f t="shared" si="1"/>
        <v>8.432999934868679E-4</v>
      </c>
    </row>
    <row r="67" spans="6:16" ht="15" thickBot="1" x14ac:dyDescent="0.35">
      <c r="F67" s="13">
        <v>1244</v>
      </c>
      <c r="G67" s="25" t="s">
        <v>82</v>
      </c>
      <c r="H67" s="8">
        <v>1243.7587000000001</v>
      </c>
      <c r="I67" s="25" t="s">
        <v>82</v>
      </c>
      <c r="J67" s="15">
        <f t="shared" si="0"/>
        <v>1.9400869316532621E-4</v>
      </c>
      <c r="L67" s="13">
        <v>1244</v>
      </c>
      <c r="M67" s="25" t="s">
        <v>82</v>
      </c>
      <c r="N67" s="8">
        <v>1243.7514000000001</v>
      </c>
      <c r="O67" s="25" t="s">
        <v>82</v>
      </c>
      <c r="P67" s="15">
        <f t="shared" si="1"/>
        <v>1.9987917199526528E-4</v>
      </c>
    </row>
    <row r="68" spans="6:16" ht="15" thickBot="1" x14ac:dyDescent="0.35">
      <c r="F68" s="13">
        <v>1318</v>
      </c>
      <c r="G68" s="25" t="s">
        <v>83</v>
      </c>
      <c r="H68" s="8">
        <v>1318.1596</v>
      </c>
      <c r="I68" s="25" t="s">
        <v>83</v>
      </c>
      <c r="J68" s="15">
        <f t="shared" si="0"/>
        <v>1.2107790285786901E-4</v>
      </c>
      <c r="L68" s="13">
        <v>1318</v>
      </c>
      <c r="M68" s="25" t="s">
        <v>83</v>
      </c>
      <c r="N68" s="8">
        <v>1318.1543999999999</v>
      </c>
      <c r="O68" s="25" t="s">
        <v>83</v>
      </c>
      <c r="P68" s="15">
        <f t="shared" si="1"/>
        <v>1.171334708588434E-4</v>
      </c>
    </row>
    <row r="69" spans="6:16" ht="15" thickBot="1" x14ac:dyDescent="0.35">
      <c r="F69" s="13">
        <v>1396</v>
      </c>
      <c r="G69" s="25" t="s">
        <v>84</v>
      </c>
      <c r="H69" s="8">
        <v>1395.3647000000001</v>
      </c>
      <c r="I69" s="28" t="s">
        <v>84</v>
      </c>
      <c r="J69" s="15">
        <f t="shared" ref="J69:J88" si="2">ABS(1 -(F69/H69))</f>
        <v>4.5529315740888698E-4</v>
      </c>
      <c r="L69" s="13">
        <v>1396</v>
      </c>
      <c r="M69" s="25" t="s">
        <v>84</v>
      </c>
      <c r="N69" s="8">
        <v>1395.3269</v>
      </c>
      <c r="O69" s="25" t="s">
        <v>84</v>
      </c>
      <c r="P69" s="15">
        <f t="shared" ref="P69:P88" si="3">ABS(1 -(L69/N69))</f>
        <v>4.8239591740117937E-4</v>
      </c>
    </row>
    <row r="70" spans="6:16" ht="15" thickBot="1" x14ac:dyDescent="0.35">
      <c r="F70" s="13">
        <v>1479</v>
      </c>
      <c r="G70" s="25" t="s">
        <v>85</v>
      </c>
      <c r="H70" s="8">
        <v>1479.4549999999999</v>
      </c>
      <c r="I70" s="25" t="s">
        <v>85</v>
      </c>
      <c r="J70" s="15">
        <f t="shared" si="2"/>
        <v>3.07545684052557E-4</v>
      </c>
      <c r="L70" s="13">
        <v>1479</v>
      </c>
      <c r="M70" s="25" t="s">
        <v>85</v>
      </c>
      <c r="N70" s="8">
        <v>1479.4168999999999</v>
      </c>
      <c r="O70" s="25" t="s">
        <v>85</v>
      </c>
      <c r="P70" s="15">
        <f t="shared" si="3"/>
        <v>2.8180021466561733E-4</v>
      </c>
    </row>
    <row r="71" spans="6:16" ht="15" thickBot="1" x14ac:dyDescent="0.35">
      <c r="F71" s="13">
        <v>1567</v>
      </c>
      <c r="G71" s="25" t="s">
        <v>86</v>
      </c>
      <c r="H71" s="8">
        <v>1567.4286999999999</v>
      </c>
      <c r="I71" s="25" t="s">
        <v>86</v>
      </c>
      <c r="J71" s="15">
        <f t="shared" si="2"/>
        <v>2.7350526374814166E-4</v>
      </c>
      <c r="L71" s="13">
        <v>1567</v>
      </c>
      <c r="M71" s="25" t="s">
        <v>86</v>
      </c>
      <c r="N71" s="8">
        <v>1567.4045000000001</v>
      </c>
      <c r="O71" s="25" t="s">
        <v>86</v>
      </c>
      <c r="P71" s="15">
        <f t="shared" si="3"/>
        <v>2.5806994939725492E-4</v>
      </c>
    </row>
    <row r="72" spans="6:16" ht="15" thickBot="1" x14ac:dyDescent="0.35">
      <c r="F72" s="13">
        <v>1661</v>
      </c>
      <c r="G72" s="25" t="s">
        <v>87</v>
      </c>
      <c r="H72" s="8">
        <v>1659.9961000000001</v>
      </c>
      <c r="I72" s="25" t="s">
        <v>87</v>
      </c>
      <c r="J72" s="15">
        <f t="shared" si="2"/>
        <v>6.047604569672238E-4</v>
      </c>
      <c r="L72" s="13">
        <v>1661</v>
      </c>
      <c r="M72" s="25" t="s">
        <v>87</v>
      </c>
      <c r="N72" s="8">
        <v>1659.9548</v>
      </c>
      <c r="O72" s="25" t="s">
        <v>87</v>
      </c>
      <c r="P72" s="15">
        <f t="shared" si="3"/>
        <v>6.2965569905881758E-4</v>
      </c>
    </row>
    <row r="73" spans="6:16" ht="15" thickBot="1" x14ac:dyDescent="0.35">
      <c r="F73" s="13">
        <v>1760</v>
      </c>
      <c r="G73" s="25" t="s">
        <v>88</v>
      </c>
      <c r="H73" s="8">
        <v>1759.4132</v>
      </c>
      <c r="I73" s="25" t="s">
        <v>88</v>
      </c>
      <c r="J73" s="15">
        <f t="shared" si="2"/>
        <v>3.3352028960575986E-4</v>
      </c>
      <c r="L73" s="13">
        <v>1760</v>
      </c>
      <c r="M73" s="25" t="s">
        <v>88</v>
      </c>
      <c r="N73" s="8">
        <v>1759.3151</v>
      </c>
      <c r="O73" s="25" t="s">
        <v>88</v>
      </c>
      <c r="P73" s="15">
        <f t="shared" si="3"/>
        <v>3.892992221803393E-4</v>
      </c>
    </row>
    <row r="74" spans="6:16" ht="15" thickBot="1" x14ac:dyDescent="0.35">
      <c r="F74" s="13">
        <v>1864</v>
      </c>
      <c r="G74" s="25" t="s">
        <v>89</v>
      </c>
      <c r="H74" s="8">
        <v>1862.6655000000001</v>
      </c>
      <c r="I74" s="25" t="s">
        <v>89</v>
      </c>
      <c r="J74" s="15">
        <f t="shared" si="2"/>
        <v>7.1644640435963858E-4</v>
      </c>
      <c r="L74" s="13">
        <v>1864</v>
      </c>
      <c r="M74" s="25" t="s">
        <v>89</v>
      </c>
      <c r="N74" s="8">
        <v>1862.6242</v>
      </c>
      <c r="O74" s="25" t="s">
        <v>89</v>
      </c>
      <c r="P74" s="15">
        <f t="shared" si="3"/>
        <v>7.3863530818507606E-4</v>
      </c>
    </row>
    <row r="75" spans="6:16" ht="15" thickBot="1" x14ac:dyDescent="0.35">
      <c r="F75" s="13">
        <v>1975</v>
      </c>
      <c r="G75" s="25" t="s">
        <v>90</v>
      </c>
      <c r="H75" s="8">
        <v>1973.9526000000001</v>
      </c>
      <c r="I75" s="25" t="s">
        <v>90</v>
      </c>
      <c r="J75" s="15">
        <f t="shared" si="2"/>
        <v>5.3061051212677235E-4</v>
      </c>
      <c r="L75" s="13">
        <v>1975</v>
      </c>
      <c r="M75" s="25" t="s">
        <v>90</v>
      </c>
      <c r="N75" s="8">
        <v>1973.9371000000001</v>
      </c>
      <c r="O75" s="25" t="s">
        <v>90</v>
      </c>
      <c r="P75" s="15">
        <f t="shared" si="3"/>
        <v>5.384670058634633E-4</v>
      </c>
    </row>
    <row r="76" spans="6:16" ht="15" thickBot="1" x14ac:dyDescent="0.35">
      <c r="F76" s="13">
        <v>2093</v>
      </c>
      <c r="G76" s="24" t="s">
        <v>91</v>
      </c>
      <c r="H76" s="8">
        <v>2092.7561000000001</v>
      </c>
      <c r="I76" s="28" t="s">
        <v>91</v>
      </c>
      <c r="J76" s="15">
        <f t="shared" si="2"/>
        <v>1.165448759175014E-4</v>
      </c>
      <c r="L76" s="13">
        <v>2093</v>
      </c>
      <c r="M76" s="24" t="s">
        <v>91</v>
      </c>
      <c r="N76" s="8">
        <v>2092.5965999999999</v>
      </c>
      <c r="O76" s="28" t="s">
        <v>91</v>
      </c>
      <c r="P76" s="15">
        <f t="shared" si="3"/>
        <v>1.9277485206670164E-4</v>
      </c>
    </row>
    <row r="77" spans="6:16" ht="15" thickBot="1" x14ac:dyDescent="0.35">
      <c r="F77" s="13">
        <v>2217</v>
      </c>
      <c r="G77" s="25" t="s">
        <v>92</v>
      </c>
      <c r="H77" s="8">
        <v>2215.6849000000002</v>
      </c>
      <c r="I77" s="25" t="s">
        <v>92</v>
      </c>
      <c r="J77" s="15">
        <f t="shared" si="2"/>
        <v>5.935410761701565E-4</v>
      </c>
      <c r="L77" s="13">
        <v>2217</v>
      </c>
      <c r="M77" s="25" t="s">
        <v>92</v>
      </c>
      <c r="N77" s="8">
        <v>2215.5293000000001</v>
      </c>
      <c r="O77" s="25" t="s">
        <v>92</v>
      </c>
      <c r="P77" s="15">
        <f t="shared" si="3"/>
        <v>6.6381428582329427E-4</v>
      </c>
    </row>
    <row r="78" spans="6:16" ht="15" thickBot="1" x14ac:dyDescent="0.35">
      <c r="F78" s="13">
        <v>2349</v>
      </c>
      <c r="G78" s="25" t="s">
        <v>93</v>
      </c>
      <c r="H78" s="8">
        <v>2348.7773999999999</v>
      </c>
      <c r="I78" s="25" t="s">
        <v>93</v>
      </c>
      <c r="J78" s="15">
        <f t="shared" si="2"/>
        <v>9.4772710262036597E-5</v>
      </c>
      <c r="L78" s="13">
        <v>2349</v>
      </c>
      <c r="M78" s="25" t="s">
        <v>93</v>
      </c>
      <c r="N78" s="8">
        <v>2348.6846999999998</v>
      </c>
      <c r="O78" s="25" t="s">
        <v>93</v>
      </c>
      <c r="P78" s="15">
        <f t="shared" si="3"/>
        <v>1.3424535017425576E-4</v>
      </c>
    </row>
    <row r="79" spans="6:16" ht="15" thickBot="1" x14ac:dyDescent="0.35">
      <c r="F79" s="13">
        <v>2489</v>
      </c>
      <c r="G79" s="25" t="s">
        <v>94</v>
      </c>
      <c r="H79" s="8">
        <v>2488.1941000000002</v>
      </c>
      <c r="I79" s="25" t="s">
        <v>94</v>
      </c>
      <c r="J79" s="15">
        <f t="shared" si="2"/>
        <v>3.2388952292738971E-4</v>
      </c>
      <c r="L79" s="13">
        <v>2489</v>
      </c>
      <c r="M79" s="25" t="s">
        <v>94</v>
      </c>
      <c r="N79" s="8">
        <v>2488.1738</v>
      </c>
      <c r="O79" s="25" t="s">
        <v>94</v>
      </c>
      <c r="P79" s="15">
        <f t="shared" si="3"/>
        <v>3.3205075947662088E-4</v>
      </c>
    </row>
    <row r="80" spans="6:16" ht="15" thickBot="1" x14ac:dyDescent="0.35">
      <c r="F80" s="13">
        <v>2637</v>
      </c>
      <c r="G80" s="25" t="s">
        <v>95</v>
      </c>
      <c r="H80" s="8">
        <v>2636.9418999999998</v>
      </c>
      <c r="I80" s="25" t="s">
        <v>95</v>
      </c>
      <c r="J80" s="15">
        <f t="shared" si="2"/>
        <v>2.2033098264317985E-5</v>
      </c>
      <c r="L80" s="13">
        <v>2637</v>
      </c>
      <c r="M80" s="25" t="s">
        <v>95</v>
      </c>
      <c r="N80" s="8">
        <v>2636.9403000000002</v>
      </c>
      <c r="O80" s="25" t="s">
        <v>95</v>
      </c>
      <c r="P80" s="15">
        <f t="shared" si="3"/>
        <v>2.2639875464580683E-5</v>
      </c>
    </row>
    <row r="81" spans="6:16" ht="15" thickBot="1" x14ac:dyDescent="0.35">
      <c r="F81" s="13">
        <v>2793</v>
      </c>
      <c r="G81" s="25" t="s">
        <v>96</v>
      </c>
      <c r="H81" s="8">
        <v>2791.4760000000001</v>
      </c>
      <c r="I81" s="28" t="s">
        <v>96</v>
      </c>
      <c r="J81" s="15">
        <f t="shared" si="2"/>
        <v>5.4594773517657735E-4</v>
      </c>
      <c r="L81" s="13">
        <v>2793</v>
      </c>
      <c r="M81" s="25" t="s">
        <v>96</v>
      </c>
      <c r="N81" s="8">
        <v>2791.0016000000001</v>
      </c>
      <c r="O81" s="25" t="s">
        <v>96</v>
      </c>
      <c r="P81" s="15">
        <f t="shared" si="3"/>
        <v>7.1601535448784226E-4</v>
      </c>
    </row>
    <row r="82" spans="6:16" ht="15" thickBot="1" x14ac:dyDescent="0.35">
      <c r="F82" s="13">
        <v>2959</v>
      </c>
      <c r="G82" s="25" t="s">
        <v>97</v>
      </c>
      <c r="H82" s="8">
        <v>2957.6253999999999</v>
      </c>
      <c r="I82" s="25" t="s">
        <v>97</v>
      </c>
      <c r="J82" s="15">
        <f t="shared" si="2"/>
        <v>4.6476473998358081E-4</v>
      </c>
      <c r="L82" s="13">
        <v>2959</v>
      </c>
      <c r="M82" s="25" t="s">
        <v>97</v>
      </c>
      <c r="N82" s="8">
        <v>2956.9315000000001</v>
      </c>
      <c r="O82" s="25" t="s">
        <v>97</v>
      </c>
      <c r="P82" s="15">
        <f t="shared" si="3"/>
        <v>6.9954275234307417E-4</v>
      </c>
    </row>
    <row r="83" spans="6:16" ht="15" thickBot="1" x14ac:dyDescent="0.35">
      <c r="F83" s="13">
        <v>3135</v>
      </c>
      <c r="G83" s="25" t="s">
        <v>98</v>
      </c>
      <c r="H83" s="8">
        <v>3133.6565000000001</v>
      </c>
      <c r="I83" s="25" t="s">
        <v>98</v>
      </c>
      <c r="J83" s="15">
        <f t="shared" si="2"/>
        <v>4.2873237701712696E-4</v>
      </c>
      <c r="L83" s="13">
        <v>3135</v>
      </c>
      <c r="M83" s="25" t="s">
        <v>98</v>
      </c>
      <c r="N83" s="8">
        <v>3132.8676999999998</v>
      </c>
      <c r="O83" s="28" t="s">
        <v>98</v>
      </c>
      <c r="P83" s="15">
        <f t="shared" si="3"/>
        <v>6.806224214319645E-4</v>
      </c>
    </row>
    <row r="84" spans="6:16" ht="15" thickBot="1" x14ac:dyDescent="0.35">
      <c r="F84" s="13">
        <v>3322</v>
      </c>
      <c r="G84" s="25" t="s">
        <v>99</v>
      </c>
      <c r="H84" s="8">
        <v>3113.0185999999999</v>
      </c>
      <c r="I84" s="25" t="s">
        <v>98</v>
      </c>
      <c r="J84" s="15">
        <f t="shared" si="2"/>
        <v>6.7131433136955909E-2</v>
      </c>
      <c r="L84" s="13">
        <v>3322</v>
      </c>
      <c r="M84" s="25" t="s">
        <v>99</v>
      </c>
      <c r="N84" s="8">
        <v>3113.6860999999999</v>
      </c>
      <c r="O84" s="25" t="s">
        <v>98</v>
      </c>
      <c r="P84" s="15">
        <f t="shared" si="3"/>
        <v>6.6902665621945578E-2</v>
      </c>
    </row>
    <row r="85" spans="6:16" ht="15" thickBot="1" x14ac:dyDescent="0.35">
      <c r="F85" s="13">
        <v>3520</v>
      </c>
      <c r="G85" s="25" t="s">
        <v>100</v>
      </c>
      <c r="H85" s="8">
        <v>2914.4931999999999</v>
      </c>
      <c r="I85" s="25" t="s">
        <v>97</v>
      </c>
      <c r="J85" s="15">
        <f t="shared" si="2"/>
        <v>0.20775714968214709</v>
      </c>
      <c r="L85" s="13">
        <v>3520</v>
      </c>
      <c r="M85" s="25" t="s">
        <v>100</v>
      </c>
      <c r="N85" s="8">
        <v>2914.8395999999998</v>
      </c>
      <c r="O85" s="28" t="s">
        <v>97</v>
      </c>
      <c r="P85" s="15">
        <f t="shared" si="3"/>
        <v>0.20761361963107694</v>
      </c>
    </row>
    <row r="86" spans="6:16" ht="15" thickBot="1" x14ac:dyDescent="0.35">
      <c r="F86" s="13">
        <v>3729</v>
      </c>
      <c r="G86" s="25" t="s">
        <v>101</v>
      </c>
      <c r="H86" s="8">
        <v>2704.5023000000001</v>
      </c>
      <c r="I86" s="28" t="s">
        <v>95</v>
      </c>
      <c r="J86" s="15">
        <f t="shared" si="2"/>
        <v>0.37881191670644898</v>
      </c>
      <c r="L86" s="13">
        <v>3729</v>
      </c>
      <c r="M86" s="25" t="s">
        <v>101</v>
      </c>
      <c r="N86" s="8">
        <v>2705.2995000000001</v>
      </c>
      <c r="O86" s="28" t="s">
        <v>95</v>
      </c>
      <c r="P86" s="15">
        <f t="shared" si="3"/>
        <v>0.37840560721650229</v>
      </c>
    </row>
    <row r="87" spans="6:16" ht="15" thickBot="1" x14ac:dyDescent="0.35">
      <c r="F87" s="13">
        <v>3951</v>
      </c>
      <c r="G87" s="25" t="s">
        <v>102</v>
      </c>
      <c r="H87" s="8">
        <v>2484.1577000000002</v>
      </c>
      <c r="I87" s="28" t="s">
        <v>94</v>
      </c>
      <c r="J87" s="15">
        <f t="shared" si="2"/>
        <v>0.59047873651499638</v>
      </c>
      <c r="L87" s="13">
        <v>3951</v>
      </c>
      <c r="M87" s="25" t="s">
        <v>102</v>
      </c>
      <c r="N87" s="8">
        <v>2484.9124000000002</v>
      </c>
      <c r="O87" s="28" t="s">
        <v>94</v>
      </c>
      <c r="P87" s="15">
        <f t="shared" si="3"/>
        <v>0.58999568757433862</v>
      </c>
    </row>
    <row r="88" spans="6:16" ht="15" thickBot="1" x14ac:dyDescent="0.35">
      <c r="F88" s="14">
        <v>4186</v>
      </c>
      <c r="G88" s="26" t="s">
        <v>103</v>
      </c>
      <c r="H88" s="9">
        <v>2248.6720999999998</v>
      </c>
      <c r="I88" s="29" t="s">
        <v>92</v>
      </c>
      <c r="J88" s="15">
        <f t="shared" si="2"/>
        <v>0.86154308580606331</v>
      </c>
      <c r="L88" s="14">
        <v>4186</v>
      </c>
      <c r="M88" s="26" t="s">
        <v>103</v>
      </c>
      <c r="N88" s="9">
        <v>2249.2669999999998</v>
      </c>
      <c r="O88" s="29" t="s">
        <v>92</v>
      </c>
      <c r="P88" s="15">
        <f t="shared" si="3"/>
        <v>0.86105073341670879</v>
      </c>
    </row>
    <row r="89" spans="6:16" x14ac:dyDescent="0.3">
      <c r="H89" s="20" t="s">
        <v>105</v>
      </c>
      <c r="I89" s="20"/>
      <c r="J89" s="22">
        <f>AVERAGE(J4:J83)</f>
        <v>3.7162721519166152E-3</v>
      </c>
      <c r="N89" s="20" t="s">
        <v>105</v>
      </c>
      <c r="O89" s="20"/>
      <c r="P89" s="22">
        <f>AVERAGE(P4:P83)</f>
        <v>3.6567179648362576E-3</v>
      </c>
    </row>
    <row r="90" spans="6:16" x14ac:dyDescent="0.3">
      <c r="H90" s="20" t="s">
        <v>106</v>
      </c>
      <c r="I90" s="20"/>
      <c r="J90" s="21">
        <f>AVERAGE(J4:J88)</f>
        <v>2.8270871694116954E-2</v>
      </c>
      <c r="N90" s="20" t="s">
        <v>106</v>
      </c>
      <c r="O90" s="20"/>
      <c r="P90" s="21">
        <f>AVERAGE(P4:P88)</f>
        <v>2.8194185301734977E-2</v>
      </c>
    </row>
    <row r="92" spans="6:16" ht="15" thickBot="1" x14ac:dyDescent="0.35"/>
    <row r="93" spans="6:16" ht="15" thickBot="1" x14ac:dyDescent="0.35">
      <c r="F93" s="32" t="s">
        <v>16</v>
      </c>
      <c r="G93" s="33"/>
      <c r="H93" s="34"/>
      <c r="I93" s="35"/>
      <c r="J93" s="36"/>
      <c r="L93" s="32" t="s">
        <v>17</v>
      </c>
      <c r="M93" s="33"/>
      <c r="N93" s="34"/>
      <c r="O93" s="35"/>
      <c r="P93" s="36"/>
    </row>
    <row r="94" spans="6:16" ht="15" thickBot="1" x14ac:dyDescent="0.35">
      <c r="F94" s="11" t="s">
        <v>9</v>
      </c>
      <c r="G94" s="23" t="s">
        <v>18</v>
      </c>
      <c r="H94" s="1" t="s">
        <v>7</v>
      </c>
      <c r="I94" s="1" t="s">
        <v>104</v>
      </c>
      <c r="J94" s="2" t="s">
        <v>107</v>
      </c>
      <c r="L94" s="11" t="s">
        <v>9</v>
      </c>
      <c r="M94" s="23" t="s">
        <v>18</v>
      </c>
      <c r="N94" s="1" t="s">
        <v>7</v>
      </c>
      <c r="O94" s="1" t="s">
        <v>104</v>
      </c>
      <c r="P94" s="2" t="s">
        <v>107</v>
      </c>
    </row>
    <row r="95" spans="6:16" ht="15" thickBot="1" x14ac:dyDescent="0.35">
      <c r="F95" s="12">
        <v>32</v>
      </c>
      <c r="G95" s="24" t="s">
        <v>19</v>
      </c>
      <c r="H95" s="7">
        <v>32.582599999999999</v>
      </c>
      <c r="I95" s="27" t="s">
        <v>19</v>
      </c>
      <c r="J95" s="15">
        <f>ABS(1 -(F95/H95))</f>
        <v>1.7880709335657663E-2</v>
      </c>
      <c r="L95" s="12">
        <v>32</v>
      </c>
      <c r="M95" s="24" t="s">
        <v>19</v>
      </c>
      <c r="N95" s="7">
        <v>32.4754</v>
      </c>
      <c r="O95" s="27" t="s">
        <v>19</v>
      </c>
      <c r="P95" s="15">
        <f>ABS(1 -(L95/N95))</f>
        <v>1.4638772732591399E-2</v>
      </c>
    </row>
    <row r="96" spans="6:16" ht="15" thickBot="1" x14ac:dyDescent="0.35">
      <c r="F96" s="13">
        <v>34</v>
      </c>
      <c r="G96" s="25" t="s">
        <v>20</v>
      </c>
      <c r="H96" s="8">
        <v>34.854399999999998</v>
      </c>
      <c r="I96" s="25" t="s">
        <v>20</v>
      </c>
      <c r="J96" s="15">
        <f t="shared" ref="J96:J159" si="4">ABS(1 -(F96/H96))</f>
        <v>2.4513404333455724E-2</v>
      </c>
      <c r="L96" s="13">
        <v>34</v>
      </c>
      <c r="M96" s="25" t="s">
        <v>20</v>
      </c>
      <c r="N96" s="8">
        <v>34.762999999999998</v>
      </c>
      <c r="O96" s="28" t="s">
        <v>20</v>
      </c>
      <c r="P96" s="15">
        <f t="shared" ref="P96:P159" si="5">ABS(1 -(L96/N96))</f>
        <v>2.1948623536518608E-2</v>
      </c>
    </row>
    <row r="97" spans="6:16" ht="15" thickBot="1" x14ac:dyDescent="0.35">
      <c r="F97" s="13">
        <v>36</v>
      </c>
      <c r="G97" s="25" t="s">
        <v>21</v>
      </c>
      <c r="H97" s="8">
        <v>36.541400000000003</v>
      </c>
      <c r="I97" s="28" t="s">
        <v>21</v>
      </c>
      <c r="J97" s="15">
        <f t="shared" si="4"/>
        <v>1.4816071633818151E-2</v>
      </c>
      <c r="L97" s="13">
        <v>36</v>
      </c>
      <c r="M97" s="25" t="s">
        <v>21</v>
      </c>
      <c r="N97" s="8">
        <v>36.518500000000003</v>
      </c>
      <c r="O97" s="28" t="s">
        <v>21</v>
      </c>
      <c r="P97" s="15">
        <f t="shared" si="5"/>
        <v>1.4198283062009764E-2</v>
      </c>
    </row>
    <row r="98" spans="6:16" ht="15" thickBot="1" x14ac:dyDescent="0.35">
      <c r="F98" s="13">
        <v>38</v>
      </c>
      <c r="G98" s="25" t="s">
        <v>22</v>
      </c>
      <c r="H98" s="8">
        <v>37.882199999999997</v>
      </c>
      <c r="I98" s="25" t="s">
        <v>22</v>
      </c>
      <c r="J98" s="15">
        <f t="shared" si="4"/>
        <v>3.1096398836394368E-3</v>
      </c>
      <c r="L98" s="13">
        <v>38</v>
      </c>
      <c r="M98" s="25" t="s">
        <v>22</v>
      </c>
      <c r="N98" s="8">
        <v>37.825699999999998</v>
      </c>
      <c r="O98" s="28" t="s">
        <v>22</v>
      </c>
      <c r="P98" s="15">
        <f t="shared" si="5"/>
        <v>4.6079781735699488E-3</v>
      </c>
    </row>
    <row r="99" spans="6:16" ht="15" thickBot="1" x14ac:dyDescent="0.35">
      <c r="F99" s="13">
        <v>41</v>
      </c>
      <c r="G99" s="25" t="s">
        <v>23</v>
      </c>
      <c r="H99" s="8">
        <v>40.151000000000003</v>
      </c>
      <c r="I99" s="28" t="s">
        <v>23</v>
      </c>
      <c r="J99" s="15">
        <f t="shared" si="4"/>
        <v>2.1145176956987255E-2</v>
      </c>
      <c r="L99" s="13">
        <v>41</v>
      </c>
      <c r="M99" s="25" t="s">
        <v>23</v>
      </c>
      <c r="N99" s="8">
        <v>40.179000000000002</v>
      </c>
      <c r="O99" s="28" t="s">
        <v>23</v>
      </c>
      <c r="P99" s="15">
        <f t="shared" si="5"/>
        <v>2.0433559819806213E-2</v>
      </c>
    </row>
    <row r="100" spans="6:16" ht="15" thickBot="1" x14ac:dyDescent="0.35">
      <c r="F100" s="13">
        <v>43</v>
      </c>
      <c r="G100" s="25" t="s">
        <v>24</v>
      </c>
      <c r="H100" s="8">
        <v>42.491700000000002</v>
      </c>
      <c r="I100" s="28" t="s">
        <v>24</v>
      </c>
      <c r="J100" s="15">
        <f t="shared" si="4"/>
        <v>1.1962336173888088E-2</v>
      </c>
      <c r="L100" s="13">
        <v>43</v>
      </c>
      <c r="M100" s="25" t="s">
        <v>24</v>
      </c>
      <c r="N100" s="8">
        <v>42.620100000000001</v>
      </c>
      <c r="O100" s="28" t="s">
        <v>24</v>
      </c>
      <c r="P100" s="15">
        <f t="shared" si="5"/>
        <v>8.913634646563473E-3</v>
      </c>
    </row>
    <row r="101" spans="6:16" ht="15" thickBot="1" x14ac:dyDescent="0.35">
      <c r="F101" s="13">
        <v>46</v>
      </c>
      <c r="G101" s="25" t="s">
        <v>25</v>
      </c>
      <c r="H101" s="8">
        <v>46.806600000000003</v>
      </c>
      <c r="I101" s="25" t="s">
        <v>25</v>
      </c>
      <c r="J101" s="15">
        <f t="shared" si="4"/>
        <v>1.7232612494819222E-2</v>
      </c>
      <c r="L101" s="13">
        <v>46</v>
      </c>
      <c r="M101" s="25" t="s">
        <v>25</v>
      </c>
      <c r="N101" s="8">
        <v>46.959899999999998</v>
      </c>
      <c r="O101" s="28" t="s">
        <v>25</v>
      </c>
      <c r="P101" s="15">
        <f t="shared" si="5"/>
        <v>2.0440844209634101E-2</v>
      </c>
    </row>
    <row r="102" spans="6:16" ht="15" thickBot="1" x14ac:dyDescent="0.35">
      <c r="F102" s="13">
        <v>49</v>
      </c>
      <c r="G102" s="25" t="s">
        <v>26</v>
      </c>
      <c r="H102" s="8">
        <v>49.3705</v>
      </c>
      <c r="I102" s="28" t="s">
        <v>26</v>
      </c>
      <c r="J102" s="15">
        <f t="shared" si="4"/>
        <v>7.5044814210915023E-3</v>
      </c>
      <c r="L102" s="13">
        <v>49</v>
      </c>
      <c r="M102" s="25" t="s">
        <v>26</v>
      </c>
      <c r="N102" s="8">
        <v>49.368600000000001</v>
      </c>
      <c r="O102" s="28" t="s">
        <v>26</v>
      </c>
      <c r="P102" s="15">
        <f t="shared" si="5"/>
        <v>7.4662842373492966E-3</v>
      </c>
    </row>
    <row r="103" spans="6:16" ht="15" thickBot="1" x14ac:dyDescent="0.35">
      <c r="F103" s="13">
        <v>51</v>
      </c>
      <c r="G103" s="25" t="s">
        <v>27</v>
      </c>
      <c r="H103" s="8">
        <v>50.8108</v>
      </c>
      <c r="I103" s="25" t="s">
        <v>27</v>
      </c>
      <c r="J103" s="15">
        <f t="shared" si="4"/>
        <v>3.7236178135358067E-3</v>
      </c>
      <c r="L103" s="13">
        <v>51</v>
      </c>
      <c r="M103" s="25" t="s">
        <v>27</v>
      </c>
      <c r="N103" s="8">
        <v>50.805700000000002</v>
      </c>
      <c r="O103" s="25" t="s">
        <v>27</v>
      </c>
      <c r="P103" s="15">
        <f t="shared" si="5"/>
        <v>3.824374036771383E-3</v>
      </c>
    </row>
    <row r="104" spans="6:16" ht="15" thickBot="1" x14ac:dyDescent="0.35">
      <c r="F104" s="13">
        <v>55</v>
      </c>
      <c r="G104" s="25" t="s">
        <v>28</v>
      </c>
      <c r="H104" s="8">
        <v>54.125999999999998</v>
      </c>
      <c r="I104" s="28" t="s">
        <v>28</v>
      </c>
      <c r="J104" s="15">
        <f t="shared" si="4"/>
        <v>1.614750766729478E-2</v>
      </c>
      <c r="L104" s="13">
        <v>55</v>
      </c>
      <c r="M104" s="25" t="s">
        <v>28</v>
      </c>
      <c r="N104" s="8">
        <v>54.240699999999997</v>
      </c>
      <c r="O104" s="28" t="s">
        <v>28</v>
      </c>
      <c r="P104" s="15">
        <f t="shared" si="5"/>
        <v>1.3998713143451358E-2</v>
      </c>
    </row>
    <row r="105" spans="6:16" ht="15" thickBot="1" x14ac:dyDescent="0.35">
      <c r="F105" s="13">
        <v>58</v>
      </c>
      <c r="G105" s="25" t="s">
        <v>29</v>
      </c>
      <c r="H105" s="8">
        <v>58.715600000000002</v>
      </c>
      <c r="I105" s="25" t="s">
        <v>29</v>
      </c>
      <c r="J105" s="15">
        <f t="shared" si="4"/>
        <v>1.2187561738277397E-2</v>
      </c>
      <c r="L105" s="13">
        <v>58</v>
      </c>
      <c r="M105" s="25" t="s">
        <v>29</v>
      </c>
      <c r="N105" s="8">
        <v>58.744</v>
      </c>
      <c r="O105" s="28" t="s">
        <v>29</v>
      </c>
      <c r="P105" s="15">
        <f t="shared" si="5"/>
        <v>1.2665123246629384E-2</v>
      </c>
    </row>
    <row r="106" spans="6:16" ht="15" thickBot="1" x14ac:dyDescent="0.35">
      <c r="F106" s="13">
        <v>61</v>
      </c>
      <c r="G106" s="25" t="s">
        <v>30</v>
      </c>
      <c r="H106" s="8">
        <v>61.516100000000002</v>
      </c>
      <c r="I106" s="28" t="s">
        <v>30</v>
      </c>
      <c r="J106" s="15">
        <f t="shared" si="4"/>
        <v>8.3896735976435322E-3</v>
      </c>
      <c r="L106" s="13">
        <v>61</v>
      </c>
      <c r="M106" s="25" t="s">
        <v>30</v>
      </c>
      <c r="N106" s="8">
        <v>61.503100000000003</v>
      </c>
      <c r="O106" s="28" t="s">
        <v>30</v>
      </c>
      <c r="P106" s="15">
        <f t="shared" si="5"/>
        <v>8.1800754758704075E-3</v>
      </c>
    </row>
    <row r="107" spans="6:16" ht="15" thickBot="1" x14ac:dyDescent="0.35">
      <c r="F107" s="13">
        <v>65</v>
      </c>
      <c r="G107" s="24" t="s">
        <v>31</v>
      </c>
      <c r="H107" s="8">
        <v>64.359800000000007</v>
      </c>
      <c r="I107" s="28" t="s">
        <v>31</v>
      </c>
      <c r="J107" s="15">
        <f t="shared" si="4"/>
        <v>9.9472030677534296E-3</v>
      </c>
      <c r="L107" s="13">
        <v>65</v>
      </c>
      <c r="M107" s="24" t="s">
        <v>31</v>
      </c>
      <c r="N107" s="8">
        <v>64.361000000000004</v>
      </c>
      <c r="O107" s="28" t="s">
        <v>31</v>
      </c>
      <c r="P107" s="15">
        <f t="shared" si="5"/>
        <v>9.9283727723309401E-3</v>
      </c>
    </row>
    <row r="108" spans="6:16" ht="15" thickBot="1" x14ac:dyDescent="0.35">
      <c r="F108" s="13">
        <v>69</v>
      </c>
      <c r="G108" s="25" t="s">
        <v>32</v>
      </c>
      <c r="H108" s="8">
        <v>69.0672</v>
      </c>
      <c r="I108" s="25" t="s">
        <v>32</v>
      </c>
      <c r="J108" s="15">
        <f t="shared" si="4"/>
        <v>9.7296545972613835E-4</v>
      </c>
      <c r="L108" s="13">
        <v>69</v>
      </c>
      <c r="M108" s="25" t="s">
        <v>32</v>
      </c>
      <c r="N108" s="8">
        <v>68.773700000000005</v>
      </c>
      <c r="O108" s="25" t="s">
        <v>32</v>
      </c>
      <c r="P108" s="15">
        <f t="shared" si="5"/>
        <v>3.2905020378428684E-3</v>
      </c>
    </row>
    <row r="109" spans="6:16" ht="15" thickBot="1" x14ac:dyDescent="0.35">
      <c r="F109" s="13">
        <v>73</v>
      </c>
      <c r="G109" s="25" t="s">
        <v>33</v>
      </c>
      <c r="H109" s="8">
        <v>73.600999999999999</v>
      </c>
      <c r="I109" s="28" t="s">
        <v>33</v>
      </c>
      <c r="J109" s="15">
        <f t="shared" si="4"/>
        <v>8.1656499232347635E-3</v>
      </c>
      <c r="L109" s="13">
        <v>73</v>
      </c>
      <c r="M109" s="25" t="s">
        <v>33</v>
      </c>
      <c r="N109" s="8">
        <v>73.731200000000001</v>
      </c>
      <c r="O109" s="28" t="s">
        <v>33</v>
      </c>
      <c r="P109" s="15">
        <f t="shared" si="5"/>
        <v>9.9171042923484887E-3</v>
      </c>
    </row>
    <row r="110" spans="6:16" ht="15" thickBot="1" x14ac:dyDescent="0.35">
      <c r="F110" s="13">
        <v>77</v>
      </c>
      <c r="G110" s="25" t="s">
        <v>34</v>
      </c>
      <c r="H110" s="8">
        <v>76.472800000000007</v>
      </c>
      <c r="I110" s="25" t="s">
        <v>34</v>
      </c>
      <c r="J110" s="15">
        <f t="shared" si="4"/>
        <v>6.893954451778761E-3</v>
      </c>
      <c r="L110" s="13">
        <v>77</v>
      </c>
      <c r="M110" s="25" t="s">
        <v>34</v>
      </c>
      <c r="N110" s="8">
        <v>76.481399999999994</v>
      </c>
      <c r="O110" s="28" t="s">
        <v>34</v>
      </c>
      <c r="P110" s="15">
        <f t="shared" si="5"/>
        <v>6.7807336162779563E-3</v>
      </c>
    </row>
    <row r="111" spans="6:16" ht="15" thickBot="1" x14ac:dyDescent="0.35">
      <c r="F111" s="13">
        <v>82</v>
      </c>
      <c r="G111" s="25" t="s">
        <v>35</v>
      </c>
      <c r="H111" s="8">
        <v>82.081000000000003</v>
      </c>
      <c r="I111" s="28" t="s">
        <v>35</v>
      </c>
      <c r="J111" s="15">
        <f t="shared" si="4"/>
        <v>9.8683008247957282E-4</v>
      </c>
      <c r="L111" s="13">
        <v>82</v>
      </c>
      <c r="M111" s="25" t="s">
        <v>35</v>
      </c>
      <c r="N111" s="8">
        <v>82.296899999999994</v>
      </c>
      <c r="O111" s="28" t="s">
        <v>35</v>
      </c>
      <c r="P111" s="15">
        <f t="shared" si="5"/>
        <v>3.6076693046760422E-3</v>
      </c>
    </row>
    <row r="112" spans="6:16" ht="15" thickBot="1" x14ac:dyDescent="0.35">
      <c r="F112" s="13">
        <v>87</v>
      </c>
      <c r="G112" s="25" t="s">
        <v>36</v>
      </c>
      <c r="H112" s="8">
        <v>87.252499999999998</v>
      </c>
      <c r="I112" s="28" t="s">
        <v>36</v>
      </c>
      <c r="J112" s="15">
        <f t="shared" si="4"/>
        <v>2.8938998882552802E-3</v>
      </c>
      <c r="L112" s="13">
        <v>87</v>
      </c>
      <c r="M112" s="25" t="s">
        <v>36</v>
      </c>
      <c r="N112" s="8">
        <v>87.252799999999993</v>
      </c>
      <c r="O112" s="28" t="s">
        <v>36</v>
      </c>
      <c r="P112" s="15">
        <f t="shared" si="5"/>
        <v>2.8973282232775954E-3</v>
      </c>
    </row>
    <row r="113" spans="6:16" ht="15" thickBot="1" x14ac:dyDescent="0.35">
      <c r="F113" s="13">
        <v>92</v>
      </c>
      <c r="G113" s="25" t="s">
        <v>37</v>
      </c>
      <c r="H113" s="8">
        <v>91.461500000000001</v>
      </c>
      <c r="I113" s="25" t="s">
        <v>37</v>
      </c>
      <c r="J113" s="15">
        <f t="shared" si="4"/>
        <v>5.8877232496734599E-3</v>
      </c>
      <c r="L113" s="13">
        <v>92</v>
      </c>
      <c r="M113" s="25" t="s">
        <v>37</v>
      </c>
      <c r="N113" s="8">
        <v>91.082700000000003</v>
      </c>
      <c r="O113" s="28" t="s">
        <v>37</v>
      </c>
      <c r="P113" s="15">
        <f t="shared" si="5"/>
        <v>1.0071067282809931E-2</v>
      </c>
    </row>
    <row r="114" spans="6:16" ht="15" thickBot="1" x14ac:dyDescent="0.35">
      <c r="F114" s="13">
        <v>98</v>
      </c>
      <c r="G114" s="25" t="s">
        <v>38</v>
      </c>
      <c r="H114" s="8">
        <v>98.661199999999994</v>
      </c>
      <c r="I114" s="25" t="s">
        <v>38</v>
      </c>
      <c r="J114" s="15">
        <f t="shared" si="4"/>
        <v>6.7017226630123883E-3</v>
      </c>
      <c r="L114" s="13">
        <v>98</v>
      </c>
      <c r="M114" s="25" t="s">
        <v>38</v>
      </c>
      <c r="N114" s="8">
        <v>98.689300000000003</v>
      </c>
      <c r="O114" s="28" t="s">
        <v>38</v>
      </c>
      <c r="P114" s="15">
        <f t="shared" si="5"/>
        <v>6.9845464503244248E-3</v>
      </c>
    </row>
    <row r="115" spans="6:16" ht="15" thickBot="1" x14ac:dyDescent="0.35">
      <c r="F115" s="13">
        <v>103</v>
      </c>
      <c r="G115" s="25" t="s">
        <v>39</v>
      </c>
      <c r="H115" s="8">
        <v>102.2604</v>
      </c>
      <c r="I115" s="25" t="s">
        <v>39</v>
      </c>
      <c r="J115" s="15">
        <f t="shared" si="4"/>
        <v>7.2325162037307766E-3</v>
      </c>
      <c r="L115" s="13">
        <v>103</v>
      </c>
      <c r="M115" s="25" t="s">
        <v>39</v>
      </c>
      <c r="N115" s="8">
        <v>102.25449999999999</v>
      </c>
      <c r="O115" s="28" t="s">
        <v>39</v>
      </c>
      <c r="P115" s="15">
        <f t="shared" si="5"/>
        <v>7.2906326860922022E-3</v>
      </c>
    </row>
    <row r="116" spans="6:16" ht="15" thickBot="1" x14ac:dyDescent="0.35">
      <c r="F116" s="13">
        <v>110</v>
      </c>
      <c r="G116" s="25" t="s">
        <v>40</v>
      </c>
      <c r="H116" s="30">
        <v>110.7801</v>
      </c>
      <c r="I116" s="25" t="s">
        <v>40</v>
      </c>
      <c r="J116" s="15">
        <f t="shared" si="4"/>
        <v>7.0418784601206097E-3</v>
      </c>
      <c r="L116" s="13">
        <v>110</v>
      </c>
      <c r="M116" s="25" t="s">
        <v>40</v>
      </c>
      <c r="N116" s="8">
        <v>110.7589</v>
      </c>
      <c r="O116" s="28" t="s">
        <v>40</v>
      </c>
      <c r="P116" s="15">
        <f t="shared" si="5"/>
        <v>6.8518195828958239E-3</v>
      </c>
    </row>
    <row r="117" spans="6:16" ht="15" thickBot="1" x14ac:dyDescent="0.35">
      <c r="F117" s="13">
        <v>116</v>
      </c>
      <c r="G117" s="25" t="s">
        <v>41</v>
      </c>
      <c r="H117" s="8">
        <v>115.2638</v>
      </c>
      <c r="I117" s="25" t="s">
        <v>41</v>
      </c>
      <c r="J117" s="15">
        <f t="shared" si="4"/>
        <v>6.3870877066347642E-3</v>
      </c>
      <c r="L117" s="13">
        <v>116</v>
      </c>
      <c r="M117" s="25" t="s">
        <v>41</v>
      </c>
      <c r="N117" s="8">
        <v>115.1842</v>
      </c>
      <c r="O117" s="28" t="s">
        <v>41</v>
      </c>
      <c r="P117" s="15">
        <f t="shared" si="5"/>
        <v>7.0825686161817281E-3</v>
      </c>
    </row>
    <row r="118" spans="6:16" ht="15" thickBot="1" x14ac:dyDescent="0.35">
      <c r="F118" s="13">
        <v>123</v>
      </c>
      <c r="G118" s="25" t="s">
        <v>42</v>
      </c>
      <c r="H118" s="8">
        <v>123.6836</v>
      </c>
      <c r="I118" s="25" t="s">
        <v>42</v>
      </c>
      <c r="J118" s="15">
        <f t="shared" si="4"/>
        <v>5.5270060056467063E-3</v>
      </c>
      <c r="L118" s="13">
        <v>123</v>
      </c>
      <c r="M118" s="25" t="s">
        <v>42</v>
      </c>
      <c r="N118" s="8">
        <v>123.6602</v>
      </c>
      <c r="O118" s="28" t="s">
        <v>42</v>
      </c>
      <c r="P118" s="15">
        <f t="shared" si="5"/>
        <v>5.3388236473821404E-3</v>
      </c>
    </row>
    <row r="119" spans="6:16" ht="15" thickBot="1" x14ac:dyDescent="0.35">
      <c r="F119" s="13">
        <v>130</v>
      </c>
      <c r="G119" s="24" t="s">
        <v>43</v>
      </c>
      <c r="H119" s="8">
        <v>129.14760000000001</v>
      </c>
      <c r="I119" s="24" t="s">
        <v>43</v>
      </c>
      <c r="J119" s="15">
        <f t="shared" si="4"/>
        <v>6.6002000811473671E-3</v>
      </c>
      <c r="L119" s="13">
        <v>130</v>
      </c>
      <c r="M119" s="24" t="s">
        <v>43</v>
      </c>
      <c r="N119" s="8">
        <v>129.15039999999999</v>
      </c>
      <c r="O119" s="28" t="s">
        <v>43</v>
      </c>
      <c r="P119" s="15">
        <f t="shared" si="5"/>
        <v>6.5783768381670882E-3</v>
      </c>
    </row>
    <row r="120" spans="6:16" ht="15" thickBot="1" x14ac:dyDescent="0.35">
      <c r="F120" s="13">
        <v>138</v>
      </c>
      <c r="G120" s="25" t="s">
        <v>44</v>
      </c>
      <c r="H120" s="8">
        <v>138.0538</v>
      </c>
      <c r="I120" s="25" t="s">
        <v>44</v>
      </c>
      <c r="J120" s="15">
        <f t="shared" si="4"/>
        <v>3.8970314471598044E-4</v>
      </c>
      <c r="L120" s="13">
        <v>138</v>
      </c>
      <c r="M120" s="25" t="s">
        <v>44</v>
      </c>
      <c r="N120" s="8">
        <v>137.9777</v>
      </c>
      <c r="O120" s="28" t="s">
        <v>44</v>
      </c>
      <c r="P120" s="15">
        <f t="shared" si="5"/>
        <v>1.6162031980537783E-4</v>
      </c>
    </row>
    <row r="121" spans="6:16" ht="15" thickBot="1" x14ac:dyDescent="0.35">
      <c r="F121" s="13">
        <v>146</v>
      </c>
      <c r="G121" s="25" t="s">
        <v>45</v>
      </c>
      <c r="H121" s="8">
        <v>146.1943</v>
      </c>
      <c r="I121" s="25" t="s">
        <v>45</v>
      </c>
      <c r="J121" s="15">
        <f t="shared" si="4"/>
        <v>1.329053184700113E-3</v>
      </c>
      <c r="L121" s="13">
        <v>146</v>
      </c>
      <c r="M121" s="25" t="s">
        <v>45</v>
      </c>
      <c r="N121" s="8">
        <v>147.03399999999999</v>
      </c>
      <c r="O121" s="28" t="s">
        <v>45</v>
      </c>
      <c r="P121" s="15">
        <f t="shared" si="5"/>
        <v>7.0323870669368738E-3</v>
      </c>
    </row>
    <row r="122" spans="6:16" ht="15" thickBot="1" x14ac:dyDescent="0.35">
      <c r="F122" s="13">
        <v>155</v>
      </c>
      <c r="G122" s="25" t="s">
        <v>46</v>
      </c>
      <c r="H122" s="8">
        <v>153.99369999999999</v>
      </c>
      <c r="I122" s="25" t="s">
        <v>46</v>
      </c>
      <c r="J122" s="15">
        <f t="shared" si="4"/>
        <v>6.5346829123529293E-3</v>
      </c>
      <c r="L122" s="13">
        <v>155</v>
      </c>
      <c r="M122" s="25" t="s">
        <v>46</v>
      </c>
      <c r="N122" s="8">
        <v>154.1806</v>
      </c>
      <c r="O122" s="28" t="s">
        <v>46</v>
      </c>
      <c r="P122" s="15">
        <f t="shared" si="5"/>
        <v>5.3145467069137808E-3</v>
      </c>
    </row>
    <row r="123" spans="6:16" ht="15" thickBot="1" x14ac:dyDescent="0.35">
      <c r="F123" s="13">
        <v>164</v>
      </c>
      <c r="G123" s="25" t="s">
        <v>47</v>
      </c>
      <c r="H123" s="8">
        <v>163.76599999999999</v>
      </c>
      <c r="I123" s="25" t="s">
        <v>47</v>
      </c>
      <c r="J123" s="15">
        <f t="shared" si="4"/>
        <v>1.4288680190028824E-3</v>
      </c>
      <c r="L123" s="13">
        <v>164</v>
      </c>
      <c r="M123" s="25" t="s">
        <v>47</v>
      </c>
      <c r="N123" s="8">
        <v>163.72929999999999</v>
      </c>
      <c r="O123" s="28" t="s">
        <v>47</v>
      </c>
      <c r="P123" s="15">
        <f t="shared" si="5"/>
        <v>1.6533387732067251E-3</v>
      </c>
    </row>
    <row r="124" spans="6:16" ht="15" thickBot="1" x14ac:dyDescent="0.35">
      <c r="F124" s="13">
        <v>174</v>
      </c>
      <c r="G124" s="25" t="s">
        <v>48</v>
      </c>
      <c r="H124" s="8">
        <v>174.46549999999999</v>
      </c>
      <c r="I124" s="25" t="s">
        <v>48</v>
      </c>
      <c r="J124" s="15">
        <f t="shared" si="4"/>
        <v>2.6681492902608239E-3</v>
      </c>
      <c r="L124" s="13">
        <v>174</v>
      </c>
      <c r="M124" s="25" t="s">
        <v>48</v>
      </c>
      <c r="N124" s="8">
        <v>174.47280000000001</v>
      </c>
      <c r="O124" s="28" t="s">
        <v>48</v>
      </c>
      <c r="P124" s="15">
        <f t="shared" si="5"/>
        <v>2.7098779867119616E-3</v>
      </c>
    </row>
    <row r="125" spans="6:16" ht="15" thickBot="1" x14ac:dyDescent="0.35">
      <c r="F125" s="13">
        <v>185</v>
      </c>
      <c r="G125" s="25" t="s">
        <v>49</v>
      </c>
      <c r="H125" s="8">
        <v>185.7218</v>
      </c>
      <c r="I125" s="25" t="s">
        <v>49</v>
      </c>
      <c r="J125" s="15">
        <f t="shared" si="4"/>
        <v>3.8864581325401826E-3</v>
      </c>
      <c r="L125" s="13">
        <v>185</v>
      </c>
      <c r="M125" s="25" t="s">
        <v>49</v>
      </c>
      <c r="N125" s="8">
        <v>185.77930000000001</v>
      </c>
      <c r="O125" s="28" t="s">
        <v>49</v>
      </c>
      <c r="P125" s="15">
        <f t="shared" si="5"/>
        <v>4.1947622797589013E-3</v>
      </c>
    </row>
    <row r="126" spans="6:16" ht="15" thickBot="1" x14ac:dyDescent="0.35">
      <c r="F126" s="13">
        <v>196</v>
      </c>
      <c r="G126" s="25" t="s">
        <v>50</v>
      </c>
      <c r="H126" s="8">
        <v>196.62909999999999</v>
      </c>
      <c r="I126" s="25" t="s">
        <v>50</v>
      </c>
      <c r="J126" s="15">
        <f t="shared" si="4"/>
        <v>3.1994247036679635E-3</v>
      </c>
      <c r="L126" s="13">
        <v>196</v>
      </c>
      <c r="M126" s="25" t="s">
        <v>50</v>
      </c>
      <c r="N126" s="8">
        <v>196.5796</v>
      </c>
      <c r="O126" s="28" t="s">
        <v>50</v>
      </c>
      <c r="P126" s="15">
        <f t="shared" si="5"/>
        <v>2.9484239463301032E-3</v>
      </c>
    </row>
    <row r="127" spans="6:16" ht="15" thickBot="1" x14ac:dyDescent="0.35">
      <c r="F127" s="13">
        <v>207</v>
      </c>
      <c r="G127" s="25" t="s">
        <v>51</v>
      </c>
      <c r="H127" s="8">
        <v>206.65020000000001</v>
      </c>
      <c r="I127" s="25" t="s">
        <v>51</v>
      </c>
      <c r="J127" s="15">
        <f t="shared" si="4"/>
        <v>1.6927155163652952E-3</v>
      </c>
      <c r="L127" s="13">
        <v>207</v>
      </c>
      <c r="M127" s="25" t="s">
        <v>51</v>
      </c>
      <c r="N127" s="8">
        <v>206.583</v>
      </c>
      <c r="O127" s="28" t="s">
        <v>51</v>
      </c>
      <c r="P127" s="15">
        <f t="shared" si="5"/>
        <v>2.0185591263559566E-3</v>
      </c>
    </row>
    <row r="128" spans="6:16" ht="15" thickBot="1" x14ac:dyDescent="0.35">
      <c r="F128" s="13">
        <v>220</v>
      </c>
      <c r="G128" s="25" t="s">
        <v>52</v>
      </c>
      <c r="H128" s="8">
        <v>219.93790000000001</v>
      </c>
      <c r="I128" s="28" t="s">
        <v>52</v>
      </c>
      <c r="J128" s="15">
        <f t="shared" si="4"/>
        <v>2.8235242766250224E-4</v>
      </c>
      <c r="L128" s="13">
        <v>220</v>
      </c>
      <c r="M128" s="25" t="s">
        <v>52</v>
      </c>
      <c r="N128" s="8">
        <v>219.851</v>
      </c>
      <c r="O128" s="28" t="s">
        <v>52</v>
      </c>
      <c r="P128" s="15">
        <f t="shared" si="5"/>
        <v>6.7773173649432472E-4</v>
      </c>
    </row>
    <row r="129" spans="6:16" ht="15" thickBot="1" x14ac:dyDescent="0.35">
      <c r="F129" s="13">
        <v>233</v>
      </c>
      <c r="G129" s="25" t="s">
        <v>53</v>
      </c>
      <c r="H129" s="8">
        <v>233.24930000000001</v>
      </c>
      <c r="I129" s="25" t="s">
        <v>53</v>
      </c>
      <c r="J129" s="15">
        <f t="shared" si="4"/>
        <v>1.068813496975185E-3</v>
      </c>
      <c r="L129" s="13">
        <v>233</v>
      </c>
      <c r="M129" s="25" t="s">
        <v>53</v>
      </c>
      <c r="N129" s="8">
        <v>233.36420000000001</v>
      </c>
      <c r="O129" s="28" t="s">
        <v>53</v>
      </c>
      <c r="P129" s="15">
        <f t="shared" si="5"/>
        <v>1.5606506910658124E-3</v>
      </c>
    </row>
    <row r="130" spans="6:16" ht="15" thickBot="1" x14ac:dyDescent="0.35">
      <c r="F130" s="13">
        <v>246</v>
      </c>
      <c r="G130" s="25" t="s">
        <v>54</v>
      </c>
      <c r="H130" s="8">
        <v>246.48509999999999</v>
      </c>
      <c r="I130" s="28" t="s">
        <v>54</v>
      </c>
      <c r="J130" s="15">
        <f t="shared" si="4"/>
        <v>1.9680702809216077E-3</v>
      </c>
      <c r="L130" s="13">
        <v>246</v>
      </c>
      <c r="M130" s="25" t="s">
        <v>54</v>
      </c>
      <c r="N130" s="8">
        <v>246.39019999999999</v>
      </c>
      <c r="O130" s="28" t="s">
        <v>54</v>
      </c>
      <c r="P130" s="15">
        <f t="shared" si="5"/>
        <v>1.5836668828549394E-3</v>
      </c>
    </row>
    <row r="131" spans="6:16" ht="15" thickBot="1" x14ac:dyDescent="0.35">
      <c r="F131" s="13">
        <v>261</v>
      </c>
      <c r="G131" s="24" t="s">
        <v>55</v>
      </c>
      <c r="H131" s="8">
        <v>261.72480000000002</v>
      </c>
      <c r="I131" s="24" t="s">
        <v>55</v>
      </c>
      <c r="J131" s="15">
        <f t="shared" si="4"/>
        <v>2.7693210578439986E-3</v>
      </c>
      <c r="L131" s="13">
        <v>261</v>
      </c>
      <c r="M131" s="24" t="s">
        <v>55</v>
      </c>
      <c r="N131" s="8">
        <v>261.60579999999999</v>
      </c>
      <c r="O131" s="28" t="s">
        <v>55</v>
      </c>
      <c r="P131" s="15">
        <f t="shared" si="5"/>
        <v>2.3156978935482408E-3</v>
      </c>
    </row>
    <row r="132" spans="6:16" ht="15" thickBot="1" x14ac:dyDescent="0.35">
      <c r="F132" s="13">
        <v>277</v>
      </c>
      <c r="G132" s="25" t="s">
        <v>56</v>
      </c>
      <c r="H132" s="8">
        <v>276.75900000000001</v>
      </c>
      <c r="I132" s="25" t="s">
        <v>56</v>
      </c>
      <c r="J132" s="15">
        <f t="shared" si="4"/>
        <v>8.707937230585383E-4</v>
      </c>
      <c r="L132" s="13">
        <v>277</v>
      </c>
      <c r="M132" s="25" t="s">
        <v>56</v>
      </c>
      <c r="N132" s="8">
        <v>276.77289999999999</v>
      </c>
      <c r="O132" s="28" t="s">
        <v>56</v>
      </c>
      <c r="P132" s="15">
        <f t="shared" si="5"/>
        <v>8.2052831039458596E-4</v>
      </c>
    </row>
    <row r="133" spans="6:16" ht="15" thickBot="1" x14ac:dyDescent="0.35">
      <c r="F133" s="13">
        <v>293</v>
      </c>
      <c r="G133" s="25" t="s">
        <v>57</v>
      </c>
      <c r="H133" s="8">
        <v>292.2944</v>
      </c>
      <c r="I133" s="25" t="s">
        <v>57</v>
      </c>
      <c r="J133" s="15">
        <f t="shared" si="4"/>
        <v>2.414004510520984E-3</v>
      </c>
      <c r="L133" s="13">
        <v>293</v>
      </c>
      <c r="M133" s="25" t="s">
        <v>57</v>
      </c>
      <c r="N133" s="8">
        <v>292.57310000000001</v>
      </c>
      <c r="O133" s="28" t="s">
        <v>57</v>
      </c>
      <c r="P133" s="15">
        <f t="shared" si="5"/>
        <v>1.4591225235676131E-3</v>
      </c>
    </row>
    <row r="134" spans="6:16" ht="15" thickBot="1" x14ac:dyDescent="0.35">
      <c r="F134" s="13">
        <v>311</v>
      </c>
      <c r="G134" s="25" t="s">
        <v>58</v>
      </c>
      <c r="H134" s="8">
        <v>311.63319999999999</v>
      </c>
      <c r="I134" s="25" t="s">
        <v>58</v>
      </c>
      <c r="J134" s="15">
        <f t="shared" si="4"/>
        <v>2.031875936196692E-3</v>
      </c>
      <c r="L134" s="13">
        <v>311</v>
      </c>
      <c r="M134" s="25" t="s">
        <v>58</v>
      </c>
      <c r="N134" s="8">
        <v>311.64159999999998</v>
      </c>
      <c r="O134" s="25" t="s">
        <v>58</v>
      </c>
      <c r="P134" s="15">
        <f t="shared" si="5"/>
        <v>2.0587752084445521E-3</v>
      </c>
    </row>
    <row r="135" spans="6:16" ht="15" thickBot="1" x14ac:dyDescent="0.35">
      <c r="F135" s="13">
        <v>329</v>
      </c>
      <c r="G135" s="25" t="s">
        <v>59</v>
      </c>
      <c r="H135" s="8">
        <v>328.31799999999998</v>
      </c>
      <c r="I135" s="25" t="s">
        <v>59</v>
      </c>
      <c r="J135" s="15">
        <f t="shared" si="4"/>
        <v>2.0772543692395562E-3</v>
      </c>
      <c r="L135" s="13">
        <v>329</v>
      </c>
      <c r="M135" s="25" t="s">
        <v>59</v>
      </c>
      <c r="N135" s="8">
        <v>328.23329999999999</v>
      </c>
      <c r="O135" s="28" t="s">
        <v>59</v>
      </c>
      <c r="P135" s="15">
        <f t="shared" si="5"/>
        <v>2.3358385636071954E-3</v>
      </c>
    </row>
    <row r="136" spans="6:16" ht="15" thickBot="1" x14ac:dyDescent="0.35">
      <c r="F136" s="13">
        <v>349</v>
      </c>
      <c r="G136" s="25" t="s">
        <v>60</v>
      </c>
      <c r="H136" s="8">
        <v>349.68970000000002</v>
      </c>
      <c r="I136" s="28" t="s">
        <v>60</v>
      </c>
      <c r="J136" s="15">
        <f t="shared" si="4"/>
        <v>1.9723200311591027E-3</v>
      </c>
      <c r="L136" s="13">
        <v>349</v>
      </c>
      <c r="M136" s="25" t="s">
        <v>60</v>
      </c>
      <c r="N136" s="8">
        <v>349.57799999999997</v>
      </c>
      <c r="O136" s="28" t="s">
        <v>60</v>
      </c>
      <c r="P136" s="15">
        <f t="shared" si="5"/>
        <v>1.6534221261063076E-3</v>
      </c>
    </row>
    <row r="137" spans="6:16" ht="15" thickBot="1" x14ac:dyDescent="0.35">
      <c r="F137" s="13">
        <v>369</v>
      </c>
      <c r="G137" s="25" t="s">
        <v>61</v>
      </c>
      <c r="H137" s="8">
        <v>368.1644</v>
      </c>
      <c r="I137" s="25" t="s">
        <v>61</v>
      </c>
      <c r="J137" s="15">
        <f t="shared" si="4"/>
        <v>2.2696382377003221E-3</v>
      </c>
      <c r="L137" s="13">
        <v>369</v>
      </c>
      <c r="M137" s="25" t="s">
        <v>61</v>
      </c>
      <c r="N137" s="8">
        <v>368.00189999999998</v>
      </c>
      <c r="O137" s="25" t="s">
        <v>61</v>
      </c>
      <c r="P137" s="15">
        <f t="shared" si="5"/>
        <v>2.7122142575894959E-3</v>
      </c>
    </row>
    <row r="138" spans="6:16" ht="15" thickBot="1" x14ac:dyDescent="0.35">
      <c r="F138" s="13">
        <v>392</v>
      </c>
      <c r="G138" s="25" t="s">
        <v>62</v>
      </c>
      <c r="H138" s="8">
        <v>391.20100000000002</v>
      </c>
      <c r="I138" s="28" t="s">
        <v>62</v>
      </c>
      <c r="J138" s="15">
        <f t="shared" si="4"/>
        <v>2.042428316900935E-3</v>
      </c>
      <c r="L138" s="13">
        <v>392</v>
      </c>
      <c r="M138" s="25" t="s">
        <v>62</v>
      </c>
      <c r="N138" s="8">
        <v>391.13060000000002</v>
      </c>
      <c r="O138" s="28" t="s">
        <v>62</v>
      </c>
      <c r="P138" s="15">
        <f t="shared" si="5"/>
        <v>2.2227869668085543E-3</v>
      </c>
    </row>
    <row r="139" spans="6:16" ht="15" thickBot="1" x14ac:dyDescent="0.35">
      <c r="F139" s="13">
        <v>415</v>
      </c>
      <c r="G139" s="25" t="s">
        <v>63</v>
      </c>
      <c r="H139" s="8">
        <v>414.59089999999998</v>
      </c>
      <c r="I139" s="25" t="s">
        <v>63</v>
      </c>
      <c r="J139" s="15">
        <f t="shared" si="4"/>
        <v>9.8675585981267133E-4</v>
      </c>
      <c r="L139" s="13">
        <v>415</v>
      </c>
      <c r="M139" s="25" t="s">
        <v>63</v>
      </c>
      <c r="N139" s="8">
        <v>414.58670000000001</v>
      </c>
      <c r="O139" s="25" t="s">
        <v>63</v>
      </c>
      <c r="P139" s="15">
        <f t="shared" si="5"/>
        <v>9.9689642721290106E-4</v>
      </c>
    </row>
    <row r="140" spans="6:16" ht="15" thickBot="1" x14ac:dyDescent="0.35">
      <c r="F140" s="13">
        <v>440</v>
      </c>
      <c r="G140" s="25" t="s">
        <v>64</v>
      </c>
      <c r="H140" s="8">
        <v>439.85079999999999</v>
      </c>
      <c r="I140" s="28" t="s">
        <v>64</v>
      </c>
      <c r="J140" s="15">
        <f t="shared" si="4"/>
        <v>3.3920593073832883E-4</v>
      </c>
      <c r="L140" s="13">
        <v>440</v>
      </c>
      <c r="M140" s="25" t="s">
        <v>64</v>
      </c>
      <c r="N140" s="8">
        <v>439.80630000000002</v>
      </c>
      <c r="O140" s="28" t="s">
        <v>64</v>
      </c>
      <c r="P140" s="15">
        <f t="shared" si="5"/>
        <v>4.4042115813258675E-4</v>
      </c>
    </row>
    <row r="141" spans="6:16" ht="15" thickBot="1" x14ac:dyDescent="0.35">
      <c r="F141" s="13">
        <v>466</v>
      </c>
      <c r="G141" s="25" t="s">
        <v>65</v>
      </c>
      <c r="H141" s="8">
        <v>465.56509999999997</v>
      </c>
      <c r="I141" s="25" t="s">
        <v>65</v>
      </c>
      <c r="J141" s="15">
        <f t="shared" si="4"/>
        <v>9.3413359377669813E-4</v>
      </c>
      <c r="L141" s="13">
        <v>466</v>
      </c>
      <c r="M141" s="25" t="s">
        <v>65</v>
      </c>
      <c r="N141" s="8">
        <v>465.55599999999998</v>
      </c>
      <c r="O141" s="25" t="s">
        <v>65</v>
      </c>
      <c r="P141" s="15">
        <f t="shared" si="5"/>
        <v>9.536983735576321E-4</v>
      </c>
    </row>
    <row r="142" spans="6:16" ht="15" thickBot="1" x14ac:dyDescent="0.35">
      <c r="F142" s="13">
        <v>493</v>
      </c>
      <c r="G142" s="25" t="s">
        <v>66</v>
      </c>
      <c r="H142" s="8">
        <v>492.11860000000001</v>
      </c>
      <c r="I142" s="28" t="s">
        <v>66</v>
      </c>
      <c r="J142" s="15">
        <f t="shared" si="4"/>
        <v>1.7910316740721299E-3</v>
      </c>
      <c r="L142" s="13">
        <v>493</v>
      </c>
      <c r="M142" s="25" t="s">
        <v>66</v>
      </c>
      <c r="N142" s="8">
        <v>492.10629999999998</v>
      </c>
      <c r="O142" s="28" t="s">
        <v>66</v>
      </c>
      <c r="P142" s="15">
        <f t="shared" si="5"/>
        <v>1.8160710399359736E-3</v>
      </c>
    </row>
    <row r="143" spans="6:16" ht="15" thickBot="1" x14ac:dyDescent="0.35">
      <c r="F143" s="13">
        <v>523</v>
      </c>
      <c r="G143" s="24" t="s">
        <v>67</v>
      </c>
      <c r="H143" s="8">
        <v>523.52859999999998</v>
      </c>
      <c r="I143" s="24" t="s">
        <v>67</v>
      </c>
      <c r="J143" s="15">
        <f t="shared" si="4"/>
        <v>1.0096869588404056E-3</v>
      </c>
      <c r="L143" s="13">
        <v>523</v>
      </c>
      <c r="M143" s="24" t="s">
        <v>67</v>
      </c>
      <c r="N143" s="8">
        <v>523.4597</v>
      </c>
      <c r="O143" s="28" t="s">
        <v>67</v>
      </c>
      <c r="P143" s="15">
        <f t="shared" si="5"/>
        <v>8.7819558984192359E-4</v>
      </c>
    </row>
    <row r="144" spans="6:16" ht="15" thickBot="1" x14ac:dyDescent="0.35">
      <c r="F144" s="13">
        <v>554</v>
      </c>
      <c r="G144" s="25" t="s">
        <v>68</v>
      </c>
      <c r="H144" s="8">
        <v>553.51880000000006</v>
      </c>
      <c r="I144" s="25" t="s">
        <v>68</v>
      </c>
      <c r="J144" s="15">
        <f t="shared" si="4"/>
        <v>8.693471658052232E-4</v>
      </c>
      <c r="L144" s="13">
        <v>554</v>
      </c>
      <c r="M144" s="25" t="s">
        <v>68</v>
      </c>
      <c r="N144" s="8">
        <v>553.48289999999997</v>
      </c>
      <c r="O144" s="25" t="s">
        <v>68</v>
      </c>
      <c r="P144" s="15">
        <f t="shared" si="5"/>
        <v>9.3426553918840582E-4</v>
      </c>
    </row>
    <row r="145" spans="6:16" ht="15" thickBot="1" x14ac:dyDescent="0.35">
      <c r="F145" s="13">
        <v>587</v>
      </c>
      <c r="G145" s="25" t="s">
        <v>69</v>
      </c>
      <c r="H145" s="8">
        <v>587.69510000000002</v>
      </c>
      <c r="I145" s="25" t="s">
        <v>69</v>
      </c>
      <c r="J145" s="15">
        <f t="shared" si="4"/>
        <v>1.1827561604649262E-3</v>
      </c>
      <c r="L145" s="13">
        <v>587</v>
      </c>
      <c r="M145" s="25" t="s">
        <v>69</v>
      </c>
      <c r="N145" s="8">
        <v>587.56349999999998</v>
      </c>
      <c r="O145" s="28" t="s">
        <v>69</v>
      </c>
      <c r="P145" s="15">
        <f t="shared" si="5"/>
        <v>9.5904527765933167E-4</v>
      </c>
    </row>
    <row r="146" spans="6:16" ht="15" thickBot="1" x14ac:dyDescent="0.35">
      <c r="F146" s="13">
        <v>622</v>
      </c>
      <c r="G146" s="25" t="s">
        <v>70</v>
      </c>
      <c r="H146" s="8">
        <v>621.66430000000003</v>
      </c>
      <c r="I146" s="25" t="s">
        <v>70</v>
      </c>
      <c r="J146" s="15">
        <f t="shared" si="4"/>
        <v>5.4000205577175997E-4</v>
      </c>
      <c r="L146" s="13">
        <v>622</v>
      </c>
      <c r="M146" s="25" t="s">
        <v>70</v>
      </c>
      <c r="N146" s="8">
        <v>621.68150000000003</v>
      </c>
      <c r="O146" s="25" t="s">
        <v>70</v>
      </c>
      <c r="P146" s="15">
        <f t="shared" si="5"/>
        <v>5.1232021541580686E-4</v>
      </c>
    </row>
    <row r="147" spans="6:16" ht="15" thickBot="1" x14ac:dyDescent="0.35">
      <c r="F147" s="13">
        <v>659</v>
      </c>
      <c r="G147" s="25" t="s">
        <v>71</v>
      </c>
      <c r="H147" s="8">
        <v>658.06269999999995</v>
      </c>
      <c r="I147" s="28" t="s">
        <v>71</v>
      </c>
      <c r="J147" s="15">
        <f t="shared" si="4"/>
        <v>1.424332362250702E-3</v>
      </c>
      <c r="L147" s="13">
        <v>659</v>
      </c>
      <c r="M147" s="25" t="s">
        <v>71</v>
      </c>
      <c r="N147" s="8">
        <v>658.173</v>
      </c>
      <c r="O147" s="28" t="s">
        <v>71</v>
      </c>
      <c r="P147" s="15">
        <f t="shared" si="5"/>
        <v>1.2565085471449855E-3</v>
      </c>
    </row>
    <row r="148" spans="6:16" ht="15" thickBot="1" x14ac:dyDescent="0.35">
      <c r="F148" s="13">
        <v>698</v>
      </c>
      <c r="G148" s="25" t="s">
        <v>72</v>
      </c>
      <c r="H148" s="8">
        <v>698.09</v>
      </c>
      <c r="I148" s="28" t="s">
        <v>72</v>
      </c>
      <c r="J148" s="15">
        <f t="shared" si="4"/>
        <v>1.2892320474444663E-4</v>
      </c>
      <c r="L148" s="13">
        <v>698</v>
      </c>
      <c r="M148" s="25" t="s">
        <v>72</v>
      </c>
      <c r="N148" s="8">
        <v>697.81330000000003</v>
      </c>
      <c r="O148" s="28" t="s">
        <v>72</v>
      </c>
      <c r="P148" s="15">
        <f t="shared" si="5"/>
        <v>2.6755007392376129E-4</v>
      </c>
    </row>
    <row r="149" spans="6:16" ht="15" thickBot="1" x14ac:dyDescent="0.35">
      <c r="F149" s="13">
        <v>739</v>
      </c>
      <c r="G149" s="25" t="s">
        <v>73</v>
      </c>
      <c r="H149" s="8">
        <v>739.45529999999997</v>
      </c>
      <c r="I149" s="25" t="s">
        <v>73</v>
      </c>
      <c r="J149" s="15">
        <f t="shared" si="4"/>
        <v>6.1572349268435023E-4</v>
      </c>
      <c r="L149" s="13">
        <v>739</v>
      </c>
      <c r="M149" s="25" t="s">
        <v>73</v>
      </c>
      <c r="N149" s="8">
        <v>739.37350000000004</v>
      </c>
      <c r="O149" s="28" t="s">
        <v>73</v>
      </c>
      <c r="P149" s="15">
        <f t="shared" si="5"/>
        <v>5.0515740691281508E-4</v>
      </c>
    </row>
    <row r="150" spans="6:16" ht="15" thickBot="1" x14ac:dyDescent="0.35">
      <c r="F150" s="13">
        <v>783</v>
      </c>
      <c r="G150" s="25" t="s">
        <v>74</v>
      </c>
      <c r="H150" s="8">
        <v>781.9538</v>
      </c>
      <c r="I150" s="28" t="s">
        <v>74</v>
      </c>
      <c r="J150" s="15">
        <f t="shared" si="4"/>
        <v>1.3379307063920987E-3</v>
      </c>
      <c r="L150" s="13">
        <v>783</v>
      </c>
      <c r="M150" s="25" t="s">
        <v>74</v>
      </c>
      <c r="N150" s="8">
        <v>781.87440000000004</v>
      </c>
      <c r="O150" s="28" t="s">
        <v>74</v>
      </c>
      <c r="P150" s="15">
        <f t="shared" si="5"/>
        <v>1.4396174116968474E-3</v>
      </c>
    </row>
    <row r="151" spans="6:16" ht="15" thickBot="1" x14ac:dyDescent="0.35">
      <c r="F151" s="13">
        <v>830</v>
      </c>
      <c r="G151" s="25" t="s">
        <v>75</v>
      </c>
      <c r="H151" s="8">
        <v>829.65060000000005</v>
      </c>
      <c r="I151" s="25" t="s">
        <v>75</v>
      </c>
      <c r="J151" s="15">
        <f t="shared" si="4"/>
        <v>4.2114114061986285E-4</v>
      </c>
      <c r="L151" s="13">
        <v>830</v>
      </c>
      <c r="M151" s="25" t="s">
        <v>75</v>
      </c>
      <c r="N151" s="8">
        <v>829.49789999999996</v>
      </c>
      <c r="O151" s="25" t="s">
        <v>75</v>
      </c>
      <c r="P151" s="15">
        <f t="shared" si="5"/>
        <v>6.0530593266117094E-4</v>
      </c>
    </row>
    <row r="152" spans="6:16" ht="15" thickBot="1" x14ac:dyDescent="0.35">
      <c r="F152" s="13">
        <v>880</v>
      </c>
      <c r="G152" s="25" t="s">
        <v>76</v>
      </c>
      <c r="H152" s="8">
        <v>879.60810000000004</v>
      </c>
      <c r="I152" s="25" t="s">
        <v>76</v>
      </c>
      <c r="J152" s="15">
        <f t="shared" si="4"/>
        <v>4.455393259792384E-4</v>
      </c>
      <c r="L152" s="13">
        <v>880</v>
      </c>
      <c r="M152" s="25" t="s">
        <v>76</v>
      </c>
      <c r="N152" s="8">
        <v>879.63509999999997</v>
      </c>
      <c r="O152" s="28" t="s">
        <v>76</v>
      </c>
      <c r="P152" s="15">
        <f t="shared" si="5"/>
        <v>4.1483110439766158E-4</v>
      </c>
    </row>
    <row r="153" spans="6:16" ht="15" thickBot="1" x14ac:dyDescent="0.35">
      <c r="F153" s="13">
        <v>932</v>
      </c>
      <c r="G153" s="25" t="s">
        <v>77</v>
      </c>
      <c r="H153" s="8">
        <v>931.12530000000004</v>
      </c>
      <c r="I153" s="25" t="s">
        <v>77</v>
      </c>
      <c r="J153" s="15">
        <f t="shared" si="4"/>
        <v>9.3940095924782696E-4</v>
      </c>
      <c r="L153" s="13">
        <v>932</v>
      </c>
      <c r="M153" s="25" t="s">
        <v>77</v>
      </c>
      <c r="N153" s="8">
        <v>931.14790000000005</v>
      </c>
      <c r="O153" s="25" t="s">
        <v>77</v>
      </c>
      <c r="P153" s="15">
        <f t="shared" si="5"/>
        <v>9.1510704153430211E-4</v>
      </c>
    </row>
    <row r="154" spans="6:16" ht="15" thickBot="1" x14ac:dyDescent="0.35">
      <c r="F154" s="13">
        <v>987</v>
      </c>
      <c r="G154" s="25" t="s">
        <v>78</v>
      </c>
      <c r="H154" s="8">
        <v>986.96069999999997</v>
      </c>
      <c r="I154" s="28" t="s">
        <v>78</v>
      </c>
      <c r="J154" s="15">
        <f t="shared" si="4"/>
        <v>3.9819214685987703E-5</v>
      </c>
      <c r="L154" s="13">
        <v>987</v>
      </c>
      <c r="M154" s="25" t="s">
        <v>78</v>
      </c>
      <c r="N154" s="8">
        <v>986.59169999999995</v>
      </c>
      <c r="O154" s="28" t="s">
        <v>78</v>
      </c>
      <c r="P154" s="15">
        <f t="shared" si="5"/>
        <v>4.1384901170360422E-4</v>
      </c>
    </row>
    <row r="155" spans="6:16" ht="15" thickBot="1" x14ac:dyDescent="0.35">
      <c r="F155" s="13">
        <v>1046</v>
      </c>
      <c r="G155" s="24" t="s">
        <v>79</v>
      </c>
      <c r="H155" s="8">
        <v>1045.0277000000001</v>
      </c>
      <c r="I155" s="24" t="s">
        <v>79</v>
      </c>
      <c r="J155" s="15">
        <f t="shared" si="4"/>
        <v>9.3040595957405436E-4</v>
      </c>
      <c r="L155" s="13">
        <v>1046</v>
      </c>
      <c r="M155" s="24" t="s">
        <v>79</v>
      </c>
      <c r="N155" s="8">
        <v>1044.8313000000001</v>
      </c>
      <c r="O155" s="28" t="s">
        <v>79</v>
      </c>
      <c r="P155" s="15">
        <f t="shared" si="5"/>
        <v>1.1185537799258682E-3</v>
      </c>
    </row>
    <row r="156" spans="6:16" ht="15" thickBot="1" x14ac:dyDescent="0.35">
      <c r="F156" s="13">
        <v>1108</v>
      </c>
      <c r="G156" s="25" t="s">
        <v>80</v>
      </c>
      <c r="H156" s="8">
        <v>1107.0463</v>
      </c>
      <c r="I156" s="25" t="s">
        <v>80</v>
      </c>
      <c r="J156" s="15">
        <f t="shared" si="4"/>
        <v>8.6148158392296281E-4</v>
      </c>
      <c r="L156" s="13">
        <v>1108</v>
      </c>
      <c r="M156" s="25" t="s">
        <v>80</v>
      </c>
      <c r="N156" s="8">
        <v>1106.9773</v>
      </c>
      <c r="O156" s="28" t="s">
        <v>80</v>
      </c>
      <c r="P156" s="15">
        <f t="shared" si="5"/>
        <v>9.2386718318437921E-4</v>
      </c>
    </row>
    <row r="157" spans="6:16" ht="15" thickBot="1" x14ac:dyDescent="0.35">
      <c r="F157" s="13">
        <v>1174</v>
      </c>
      <c r="G157" s="25" t="s">
        <v>81</v>
      </c>
      <c r="H157" s="8">
        <v>1172.9347</v>
      </c>
      <c r="I157" s="28" t="s">
        <v>81</v>
      </c>
      <c r="J157" s="15">
        <f t="shared" si="4"/>
        <v>9.0823470394396644E-4</v>
      </c>
      <c r="L157" s="13">
        <v>1174</v>
      </c>
      <c r="M157" s="25" t="s">
        <v>81</v>
      </c>
      <c r="N157" s="8">
        <v>1172.7807</v>
      </c>
      <c r="O157" s="25" t="s">
        <v>81</v>
      </c>
      <c r="P157" s="15">
        <f t="shared" si="5"/>
        <v>1.03966581305448E-3</v>
      </c>
    </row>
    <row r="158" spans="6:16" ht="15" thickBot="1" x14ac:dyDescent="0.35">
      <c r="F158" s="13">
        <v>1244</v>
      </c>
      <c r="G158" s="25" t="s">
        <v>82</v>
      </c>
      <c r="H158" s="8">
        <v>1243.7313999999999</v>
      </c>
      <c r="I158" s="25" t="s">
        <v>82</v>
      </c>
      <c r="J158" s="15">
        <f t="shared" si="4"/>
        <v>2.1596302867332717E-4</v>
      </c>
      <c r="L158" s="13">
        <v>1244</v>
      </c>
      <c r="M158" s="25" t="s">
        <v>82</v>
      </c>
      <c r="N158" s="8">
        <v>1243.6554000000001</v>
      </c>
      <c r="O158" s="25" t="s">
        <v>82</v>
      </c>
      <c r="P158" s="15">
        <f t="shared" si="5"/>
        <v>2.7708640190837741E-4</v>
      </c>
    </row>
    <row r="159" spans="6:16" ht="15" thickBot="1" x14ac:dyDescent="0.35">
      <c r="F159" s="13">
        <v>1318</v>
      </c>
      <c r="G159" s="25" t="s">
        <v>83</v>
      </c>
      <c r="H159" s="8">
        <v>1318.1206999999999</v>
      </c>
      <c r="I159" s="25" t="s">
        <v>83</v>
      </c>
      <c r="J159" s="15">
        <f t="shared" si="4"/>
        <v>9.1569762920795661E-5</v>
      </c>
      <c r="L159" s="13">
        <v>1318</v>
      </c>
      <c r="M159" s="25" t="s">
        <v>83</v>
      </c>
      <c r="N159" s="8">
        <v>1317.9314999999999</v>
      </c>
      <c r="O159" s="25" t="s">
        <v>83</v>
      </c>
      <c r="P159" s="15">
        <f t="shared" si="5"/>
        <v>5.1975387188152311E-5</v>
      </c>
    </row>
    <row r="160" spans="6:16" ht="15" thickBot="1" x14ac:dyDescent="0.35">
      <c r="F160" s="13">
        <v>1396</v>
      </c>
      <c r="G160" s="25" t="s">
        <v>84</v>
      </c>
      <c r="H160" s="8">
        <v>1395.2320999999999</v>
      </c>
      <c r="I160" s="25" t="s">
        <v>84</v>
      </c>
      <c r="J160" s="15">
        <f t="shared" ref="J160:J179" si="6">ABS(1 -(F160/H160))</f>
        <v>5.5037437857108351E-4</v>
      </c>
      <c r="L160" s="13">
        <v>1396</v>
      </c>
      <c r="M160" s="25" t="s">
        <v>84</v>
      </c>
      <c r="N160" s="8">
        <v>1395.2152000000001</v>
      </c>
      <c r="O160" s="25" t="s">
        <v>84</v>
      </c>
      <c r="P160" s="15">
        <f t="shared" ref="P160:P179" si="7">ABS(1 -(L160/N160))</f>
        <v>5.6249387191309452E-4</v>
      </c>
    </row>
    <row r="161" spans="6:16" ht="15" thickBot="1" x14ac:dyDescent="0.35">
      <c r="F161" s="13">
        <v>1479</v>
      </c>
      <c r="G161" s="25" t="s">
        <v>85</v>
      </c>
      <c r="H161" s="8">
        <v>1479.4142999999999</v>
      </c>
      <c r="I161" s="25" t="s">
        <v>85</v>
      </c>
      <c r="J161" s="15">
        <f t="shared" si="6"/>
        <v>2.8004325765940141E-4</v>
      </c>
      <c r="L161" s="13">
        <v>1479</v>
      </c>
      <c r="M161" s="25" t="s">
        <v>85</v>
      </c>
      <c r="N161" s="8">
        <v>1479.2380000000001</v>
      </c>
      <c r="O161" s="25" t="s">
        <v>85</v>
      </c>
      <c r="P161" s="15">
        <f t="shared" si="7"/>
        <v>1.6089364929783301E-4</v>
      </c>
    </row>
    <row r="162" spans="6:16" ht="15" thickBot="1" x14ac:dyDescent="0.35">
      <c r="F162" s="13">
        <v>1567</v>
      </c>
      <c r="G162" s="25" t="s">
        <v>86</v>
      </c>
      <c r="H162" s="8">
        <v>1567.2224000000001</v>
      </c>
      <c r="I162" s="25" t="s">
        <v>86</v>
      </c>
      <c r="J162" s="15">
        <f t="shared" si="6"/>
        <v>1.4190710903572157E-4</v>
      </c>
      <c r="L162" s="13">
        <v>1567</v>
      </c>
      <c r="M162" s="25" t="s">
        <v>86</v>
      </c>
      <c r="N162" s="8">
        <v>1567.2077999999999</v>
      </c>
      <c r="O162" s="28" t="s">
        <v>86</v>
      </c>
      <c r="P162" s="15">
        <f t="shared" si="7"/>
        <v>1.3259249985864141E-4</v>
      </c>
    </row>
    <row r="163" spans="6:16" ht="15" thickBot="1" x14ac:dyDescent="0.35">
      <c r="F163" s="13">
        <v>1661</v>
      </c>
      <c r="G163" s="25" t="s">
        <v>87</v>
      </c>
      <c r="H163" s="8">
        <v>1659.9490000000001</v>
      </c>
      <c r="I163" s="25" t="s">
        <v>87</v>
      </c>
      <c r="J163" s="15">
        <f t="shared" si="6"/>
        <v>6.3315198238012016E-4</v>
      </c>
      <c r="L163" s="13">
        <v>1661</v>
      </c>
      <c r="M163" s="25" t="s">
        <v>87</v>
      </c>
      <c r="N163" s="8">
        <v>1659.7262000000001</v>
      </c>
      <c r="O163" s="25" t="s">
        <v>87</v>
      </c>
      <c r="P163" s="15">
        <f t="shared" si="7"/>
        <v>7.674759848943502E-4</v>
      </c>
    </row>
    <row r="164" spans="6:16" ht="15" thickBot="1" x14ac:dyDescent="0.35">
      <c r="F164" s="13">
        <v>1760</v>
      </c>
      <c r="G164" s="25" t="s">
        <v>88</v>
      </c>
      <c r="H164" s="8">
        <v>1759.3391999999999</v>
      </c>
      <c r="I164" s="25" t="s">
        <v>88</v>
      </c>
      <c r="J164" s="15">
        <f t="shared" si="6"/>
        <v>3.7559556451660647E-4</v>
      </c>
      <c r="L164" s="13">
        <v>1760</v>
      </c>
      <c r="M164" s="25" t="s">
        <v>88</v>
      </c>
      <c r="N164" s="8">
        <v>1759.2345</v>
      </c>
      <c r="O164" s="25" t="s">
        <v>88</v>
      </c>
      <c r="P164" s="15">
        <f t="shared" si="7"/>
        <v>4.3513243970605409E-4</v>
      </c>
    </row>
    <row r="165" spans="6:16" ht="15" thickBot="1" x14ac:dyDescent="0.35">
      <c r="F165" s="13">
        <v>1864</v>
      </c>
      <c r="G165" s="25" t="s">
        <v>89</v>
      </c>
      <c r="H165" s="8">
        <v>1862.5941</v>
      </c>
      <c r="I165" s="25" t="s">
        <v>89</v>
      </c>
      <c r="J165" s="15">
        <f t="shared" si="6"/>
        <v>7.5480750207468361E-4</v>
      </c>
      <c r="L165" s="13">
        <v>1864</v>
      </c>
      <c r="M165" s="25" t="s">
        <v>89</v>
      </c>
      <c r="N165" s="8">
        <v>1862.3471999999999</v>
      </c>
      <c r="O165" s="25" t="s">
        <v>89</v>
      </c>
      <c r="P165" s="15">
        <f t="shared" si="7"/>
        <v>8.874822052515885E-4</v>
      </c>
    </row>
    <row r="166" spans="6:16" ht="15" thickBot="1" x14ac:dyDescent="0.35">
      <c r="F166" s="13">
        <v>1975</v>
      </c>
      <c r="G166" s="25" t="s">
        <v>90</v>
      </c>
      <c r="H166" s="8">
        <v>1973.7806</v>
      </c>
      <c r="I166" s="28" t="s">
        <v>90</v>
      </c>
      <c r="J166" s="15">
        <f t="shared" si="6"/>
        <v>6.1779916166981863E-4</v>
      </c>
      <c r="L166" s="13">
        <v>1975</v>
      </c>
      <c r="M166" s="25" t="s">
        <v>90</v>
      </c>
      <c r="N166" s="8">
        <v>1973.6</v>
      </c>
      <c r="O166" s="25" t="s">
        <v>90</v>
      </c>
      <c r="P166" s="15">
        <f t="shared" si="7"/>
        <v>7.0936359951367933E-4</v>
      </c>
    </row>
    <row r="167" spans="6:16" ht="15" thickBot="1" x14ac:dyDescent="0.35">
      <c r="F167" s="13">
        <v>2093</v>
      </c>
      <c r="G167" s="24" t="s">
        <v>91</v>
      </c>
      <c r="H167" s="8">
        <v>2092.6385</v>
      </c>
      <c r="I167" s="28" t="s">
        <v>91</v>
      </c>
      <c r="J167" s="15">
        <f t="shared" si="6"/>
        <v>1.7274842262526846E-4</v>
      </c>
      <c r="L167" s="13">
        <v>2093</v>
      </c>
      <c r="M167" s="24" t="s">
        <v>91</v>
      </c>
      <c r="N167" s="8">
        <v>2091.9738000000002</v>
      </c>
      <c r="O167" s="28" t="s">
        <v>91</v>
      </c>
      <c r="P167" s="15">
        <f t="shared" si="7"/>
        <v>4.905415163420912E-4</v>
      </c>
    </row>
    <row r="168" spans="6:16" ht="15" thickBot="1" x14ac:dyDescent="0.35">
      <c r="F168" s="13">
        <v>2217</v>
      </c>
      <c r="G168" s="25" t="s">
        <v>92</v>
      </c>
      <c r="H168" s="8">
        <v>2215.7040000000002</v>
      </c>
      <c r="I168" s="28" t="s">
        <v>92</v>
      </c>
      <c r="J168" s="15">
        <f t="shared" si="6"/>
        <v>5.8491567465690508E-4</v>
      </c>
      <c r="L168" s="13">
        <v>2217</v>
      </c>
      <c r="M168" s="25" t="s">
        <v>92</v>
      </c>
      <c r="N168" s="8">
        <v>2215.3656000000001</v>
      </c>
      <c r="O168" s="25" t="s">
        <v>92</v>
      </c>
      <c r="P168" s="15">
        <f t="shared" si="7"/>
        <v>7.3775633240846794E-4</v>
      </c>
    </row>
    <row r="169" spans="6:16" ht="15" thickBot="1" x14ac:dyDescent="0.35">
      <c r="F169" s="13">
        <v>2349</v>
      </c>
      <c r="G169" s="25" t="s">
        <v>93</v>
      </c>
      <c r="H169" s="8">
        <v>2348.7923999999998</v>
      </c>
      <c r="I169" s="28" t="s">
        <v>93</v>
      </c>
      <c r="J169" s="15">
        <f t="shared" si="6"/>
        <v>8.8385844572824723E-5</v>
      </c>
      <c r="L169" s="13">
        <v>2349</v>
      </c>
      <c r="M169" s="25" t="s">
        <v>93</v>
      </c>
      <c r="N169" s="8">
        <v>2348.4756000000002</v>
      </c>
      <c r="O169" s="28" t="s">
        <v>93</v>
      </c>
      <c r="P169" s="15">
        <f t="shared" si="7"/>
        <v>2.2329378257102128E-4</v>
      </c>
    </row>
    <row r="170" spans="6:16" ht="15" thickBot="1" x14ac:dyDescent="0.35">
      <c r="F170" s="13">
        <v>2489</v>
      </c>
      <c r="G170" s="25" t="s">
        <v>94</v>
      </c>
      <c r="H170" s="8">
        <v>2488.1943999999999</v>
      </c>
      <c r="I170" s="28" t="s">
        <v>94</v>
      </c>
      <c r="J170" s="15">
        <f t="shared" si="6"/>
        <v>3.2376891451901813E-4</v>
      </c>
      <c r="L170" s="13">
        <v>2489</v>
      </c>
      <c r="M170" s="25" t="s">
        <v>94</v>
      </c>
      <c r="N170" s="8">
        <v>2487.8631</v>
      </c>
      <c r="O170" s="25" t="s">
        <v>94</v>
      </c>
      <c r="P170" s="15">
        <f t="shared" si="7"/>
        <v>4.5697852104487069E-4</v>
      </c>
    </row>
    <row r="171" spans="6:16" ht="15" thickBot="1" x14ac:dyDescent="0.35">
      <c r="F171" s="13">
        <v>2637</v>
      </c>
      <c r="G171" s="25" t="s">
        <v>95</v>
      </c>
      <c r="H171" s="8">
        <v>2636.9423999999999</v>
      </c>
      <c r="I171" s="25" t="s">
        <v>95</v>
      </c>
      <c r="J171" s="15">
        <f t="shared" si="6"/>
        <v>2.1843480540129079E-5</v>
      </c>
      <c r="L171" s="13">
        <v>2637</v>
      </c>
      <c r="M171" s="25" t="s">
        <v>95</v>
      </c>
      <c r="N171" s="8">
        <v>2636.5124999999998</v>
      </c>
      <c r="O171" s="28" t="s">
        <v>95</v>
      </c>
      <c r="P171" s="15">
        <f t="shared" si="7"/>
        <v>1.8490335244014666E-4</v>
      </c>
    </row>
    <row r="172" spans="6:16" ht="15" thickBot="1" x14ac:dyDescent="0.35">
      <c r="F172" s="13">
        <v>2793</v>
      </c>
      <c r="G172" s="25" t="s">
        <v>96</v>
      </c>
      <c r="H172" s="8">
        <v>2791.4546</v>
      </c>
      <c r="I172" s="28" t="s">
        <v>96</v>
      </c>
      <c r="J172" s="15">
        <f t="shared" si="6"/>
        <v>5.5361817455312767E-4</v>
      </c>
      <c r="L172" s="13">
        <v>2793</v>
      </c>
      <c r="M172" s="25" t="s">
        <v>96</v>
      </c>
      <c r="N172" s="8">
        <v>2790.9729000000002</v>
      </c>
      <c r="O172" s="28" t="s">
        <v>96</v>
      </c>
      <c r="P172" s="15">
        <f t="shared" si="7"/>
        <v>7.2630586989919088E-4</v>
      </c>
    </row>
    <row r="173" spans="6:16" ht="15" thickBot="1" x14ac:dyDescent="0.35">
      <c r="F173" s="13">
        <v>2959</v>
      </c>
      <c r="G173" s="25" t="s">
        <v>97</v>
      </c>
      <c r="H173" s="8">
        <v>2957.4313000000002</v>
      </c>
      <c r="I173" s="25" t="s">
        <v>97</v>
      </c>
      <c r="J173" s="15">
        <f t="shared" si="6"/>
        <v>5.3042652250279154E-4</v>
      </c>
      <c r="L173" s="13">
        <v>2959</v>
      </c>
      <c r="M173" s="25" t="s">
        <v>97</v>
      </c>
      <c r="N173" s="8">
        <v>2956.9580000000001</v>
      </c>
      <c r="O173" s="25" t="s">
        <v>97</v>
      </c>
      <c r="P173" s="15">
        <f t="shared" si="7"/>
        <v>6.9057457021703961E-4</v>
      </c>
    </row>
    <row r="174" spans="6:16" ht="15" thickBot="1" x14ac:dyDescent="0.35">
      <c r="F174" s="13">
        <v>3135</v>
      </c>
      <c r="G174" s="25" t="s">
        <v>98</v>
      </c>
      <c r="H174" s="8">
        <v>3133.2114999999999</v>
      </c>
      <c r="I174" s="25" t="s">
        <v>98</v>
      </c>
      <c r="J174" s="15">
        <f t="shared" si="6"/>
        <v>5.7082006752495751E-4</v>
      </c>
      <c r="L174" s="13">
        <v>3135</v>
      </c>
      <c r="M174" s="25" t="s">
        <v>98</v>
      </c>
      <c r="N174" s="8">
        <v>3132.8226</v>
      </c>
      <c r="O174" s="28" t="s">
        <v>98</v>
      </c>
      <c r="P174" s="15">
        <f t="shared" si="7"/>
        <v>6.9502818321098836E-4</v>
      </c>
    </row>
    <row r="175" spans="6:16" ht="15" thickBot="1" x14ac:dyDescent="0.35">
      <c r="F175" s="13">
        <v>3322</v>
      </c>
      <c r="G175" s="25" t="s">
        <v>99</v>
      </c>
      <c r="H175" s="8">
        <v>3113.1984000000002</v>
      </c>
      <c r="I175" s="25" t="s">
        <v>98</v>
      </c>
      <c r="J175" s="15">
        <f t="shared" si="6"/>
        <v>6.7069801911757265E-2</v>
      </c>
      <c r="L175" s="13">
        <v>3322</v>
      </c>
      <c r="M175" s="25" t="s">
        <v>99</v>
      </c>
      <c r="N175" s="8">
        <v>3113.5288</v>
      </c>
      <c r="O175" s="28" t="s">
        <v>98</v>
      </c>
      <c r="P175" s="15">
        <f t="shared" si="7"/>
        <v>6.6956567095187935E-2</v>
      </c>
    </row>
    <row r="176" spans="6:16" ht="15" thickBot="1" x14ac:dyDescent="0.35">
      <c r="F176" s="13">
        <v>3520</v>
      </c>
      <c r="G176" s="25" t="s">
        <v>100</v>
      </c>
      <c r="H176" s="8">
        <v>2914.4029999999998</v>
      </c>
      <c r="I176" s="25" t="s">
        <v>97</v>
      </c>
      <c r="J176" s="15">
        <f t="shared" si="6"/>
        <v>0.20779452944565335</v>
      </c>
      <c r="L176" s="13">
        <v>3520</v>
      </c>
      <c r="M176" s="25" t="s">
        <v>100</v>
      </c>
      <c r="N176" s="8">
        <v>2914.8895000000002</v>
      </c>
      <c r="O176" s="25" t="s">
        <v>97</v>
      </c>
      <c r="P176" s="15">
        <f t="shared" si="7"/>
        <v>0.20759294649076732</v>
      </c>
    </row>
    <row r="177" spans="6:16" ht="15" thickBot="1" x14ac:dyDescent="0.35">
      <c r="F177" s="13">
        <v>3729</v>
      </c>
      <c r="G177" s="25" t="s">
        <v>101</v>
      </c>
      <c r="H177" s="8">
        <v>2704.5565999999999</v>
      </c>
      <c r="I177" s="28" t="s">
        <v>95</v>
      </c>
      <c r="J177" s="15">
        <f t="shared" si="6"/>
        <v>0.37878423398497185</v>
      </c>
      <c r="L177" s="13">
        <v>3729</v>
      </c>
      <c r="M177" s="25" t="s">
        <v>101</v>
      </c>
      <c r="N177" s="8">
        <v>2705.3222000000001</v>
      </c>
      <c r="O177" s="28" t="s">
        <v>95</v>
      </c>
      <c r="P177" s="15">
        <f t="shared" si="7"/>
        <v>0.37839404119775444</v>
      </c>
    </row>
    <row r="178" spans="6:16" ht="15" thickBot="1" x14ac:dyDescent="0.35">
      <c r="F178" s="13">
        <v>3951</v>
      </c>
      <c r="G178" s="25" t="s">
        <v>102</v>
      </c>
      <c r="H178" s="8">
        <v>2484.4834000000001</v>
      </c>
      <c r="I178" s="25" t="s">
        <v>94</v>
      </c>
      <c r="J178" s="15">
        <f t="shared" si="6"/>
        <v>0.59027023485043206</v>
      </c>
      <c r="L178" s="13">
        <v>3951</v>
      </c>
      <c r="M178" s="25" t="s">
        <v>102</v>
      </c>
      <c r="N178" s="8">
        <v>2484.9515000000001</v>
      </c>
      <c r="O178" s="28" t="s">
        <v>94</v>
      </c>
      <c r="P178" s="15">
        <f t="shared" si="7"/>
        <v>0.58997066944767318</v>
      </c>
    </row>
    <row r="179" spans="6:16" ht="15" thickBot="1" x14ac:dyDescent="0.35">
      <c r="F179" s="14">
        <v>4186</v>
      </c>
      <c r="G179" s="26" t="s">
        <v>103</v>
      </c>
      <c r="H179" s="9">
        <v>2248.6702</v>
      </c>
      <c r="I179" s="29" t="s">
        <v>92</v>
      </c>
      <c r="J179" s="15">
        <f t="shared" si="6"/>
        <v>0.86154465870539831</v>
      </c>
      <c r="L179" s="14">
        <v>4186</v>
      </c>
      <c r="M179" s="26" t="s">
        <v>103</v>
      </c>
      <c r="N179" s="9">
        <v>2249.1651000000002</v>
      </c>
      <c r="O179" s="29" t="s">
        <v>92</v>
      </c>
      <c r="P179" s="15">
        <f t="shared" si="7"/>
        <v>0.86113504962352461</v>
      </c>
    </row>
    <row r="180" spans="6:16" x14ac:dyDescent="0.3">
      <c r="H180" s="20" t="s">
        <v>105</v>
      </c>
      <c r="I180" s="20"/>
      <c r="J180" s="22">
        <f>AVERAGE(J95:J174)</f>
        <v>3.712011856092655E-3</v>
      </c>
      <c r="N180" s="20" t="s">
        <v>105</v>
      </c>
      <c r="O180" s="20"/>
      <c r="P180" s="22">
        <f>AVERAGE(P95:P174)</f>
        <v>3.8493821016577986E-3</v>
      </c>
    </row>
    <row r="181" spans="6:16" x14ac:dyDescent="0.3">
      <c r="H181" s="20" t="s">
        <v>106</v>
      </c>
      <c r="I181" s="20"/>
      <c r="J181" s="21">
        <f>AVERAGE(J95:J179)</f>
        <v>2.8263816557477946E-2</v>
      </c>
      <c r="N181" s="20" t="s">
        <v>106</v>
      </c>
      <c r="O181" s="20"/>
      <c r="P181" s="21">
        <f>AVERAGE(P95:P179)</f>
        <v>2.837646872926507E-2</v>
      </c>
    </row>
    <row r="197" spans="6:15" ht="15" thickBot="1" x14ac:dyDescent="0.35"/>
    <row r="198" spans="6:15" x14ac:dyDescent="0.3">
      <c r="F198" s="12"/>
      <c r="G198" s="7"/>
    </row>
    <row r="199" spans="6:15" x14ac:dyDescent="0.3">
      <c r="F199" s="13"/>
      <c r="G199" s="8"/>
    </row>
    <row r="200" spans="6:15" x14ac:dyDescent="0.3">
      <c r="F200" s="13"/>
      <c r="G200" s="8"/>
    </row>
    <row r="201" spans="6:15" x14ac:dyDescent="0.3">
      <c r="F201" s="13"/>
      <c r="G201" s="8"/>
    </row>
    <row r="202" spans="6:15" x14ac:dyDescent="0.3">
      <c r="F202" s="13"/>
      <c r="G202" s="8"/>
    </row>
    <row r="203" spans="6:15" x14ac:dyDescent="0.3">
      <c r="F203" s="13"/>
      <c r="G203" s="8"/>
    </row>
    <row r="204" spans="6:15" x14ac:dyDescent="0.3">
      <c r="F204" s="13"/>
      <c r="G204" s="8"/>
    </row>
    <row r="205" spans="6:15" ht="15" thickBot="1" x14ac:dyDescent="0.35">
      <c r="F205" s="13"/>
      <c r="G205" s="8"/>
    </row>
    <row r="206" spans="6:15" ht="15" thickBot="1" x14ac:dyDescent="0.35">
      <c r="F206" s="13"/>
      <c r="G206" s="8"/>
      <c r="L206" s="37" t="s">
        <v>8</v>
      </c>
      <c r="M206" s="38"/>
      <c r="N206" s="38"/>
      <c r="O206" s="39"/>
    </row>
    <row r="207" spans="6:15" ht="15" thickBot="1" x14ac:dyDescent="0.35">
      <c r="F207" s="13"/>
      <c r="G207" s="8"/>
      <c r="L207" s="11" t="s">
        <v>108</v>
      </c>
      <c r="M207" s="11" t="s">
        <v>9</v>
      </c>
      <c r="N207" s="1" t="s">
        <v>7</v>
      </c>
      <c r="O207" s="2" t="s">
        <v>109</v>
      </c>
    </row>
    <row r="208" spans="6:15" x14ac:dyDescent="0.3">
      <c r="F208" s="13"/>
      <c r="G208" s="8"/>
      <c r="L208" s="12" t="s">
        <v>19</v>
      </c>
      <c r="M208" s="7">
        <v>32</v>
      </c>
      <c r="N208" s="7">
        <v>32.192399999999999</v>
      </c>
      <c r="O208" s="15">
        <f>(1 -(M208/N208))</f>
        <v>5.9765658975410307E-3</v>
      </c>
    </row>
    <row r="209" spans="6:15" x14ac:dyDescent="0.3">
      <c r="F209" s="13"/>
      <c r="G209" s="8"/>
      <c r="L209" s="13" t="s">
        <v>24</v>
      </c>
      <c r="M209" s="8">
        <v>43</v>
      </c>
      <c r="N209" s="8">
        <v>42.464799999999997</v>
      </c>
      <c r="O209" s="16">
        <f t="shared" ref="O209:O227" si="8">ABS(1 -(M209/N209))</f>
        <v>1.2603379740396825E-2</v>
      </c>
    </row>
    <row r="210" spans="6:15" x14ac:dyDescent="0.3">
      <c r="F210" s="13"/>
      <c r="G210" s="8"/>
      <c r="L210" s="13" t="s">
        <v>33</v>
      </c>
      <c r="M210" s="8">
        <v>73</v>
      </c>
      <c r="N210" s="8">
        <v>73.643900000000002</v>
      </c>
      <c r="O210" s="16">
        <f t="shared" si="8"/>
        <v>8.7434261357696164E-3</v>
      </c>
    </row>
    <row r="211" spans="6:15" x14ac:dyDescent="0.3">
      <c r="F211" s="13"/>
      <c r="G211" s="8"/>
      <c r="L211" s="13" t="s">
        <v>38</v>
      </c>
      <c r="M211" s="8">
        <v>98</v>
      </c>
      <c r="N211" s="8">
        <v>98.676299999999998</v>
      </c>
      <c r="O211" s="16">
        <f t="shared" si="8"/>
        <v>6.8537227277472024E-3</v>
      </c>
    </row>
    <row r="212" spans="6:15" x14ac:dyDescent="0.3">
      <c r="F212" s="13"/>
      <c r="G212" s="8"/>
      <c r="L212" s="13" t="s">
        <v>42</v>
      </c>
      <c r="M212" s="8">
        <v>123</v>
      </c>
      <c r="N212" s="8">
        <v>123.697</v>
      </c>
      <c r="O212" s="16">
        <f t="shared" si="8"/>
        <v>5.634736493205228E-3</v>
      </c>
    </row>
    <row r="213" spans="6:15" x14ac:dyDescent="0.3">
      <c r="F213" s="13"/>
      <c r="G213" s="8"/>
      <c r="L213" s="13" t="s">
        <v>46</v>
      </c>
      <c r="M213" s="8">
        <v>155</v>
      </c>
      <c r="N213" s="8">
        <v>154.08189999999999</v>
      </c>
      <c r="O213" s="16">
        <f t="shared" si="8"/>
        <v>5.9585194627014282E-3</v>
      </c>
    </row>
    <row r="214" spans="6:15" x14ac:dyDescent="0.3">
      <c r="F214" s="13"/>
      <c r="G214" s="8"/>
      <c r="L214" s="13" t="s">
        <v>47</v>
      </c>
      <c r="M214" s="8">
        <v>164</v>
      </c>
      <c r="N214" s="8">
        <v>163.7595</v>
      </c>
      <c r="O214" s="16">
        <f t="shared" si="8"/>
        <v>1.4686170878634996E-3</v>
      </c>
    </row>
    <row r="215" spans="6:15" x14ac:dyDescent="0.3">
      <c r="F215" s="13"/>
      <c r="G215" s="8"/>
      <c r="L215" s="13" t="s">
        <v>60</v>
      </c>
      <c r="M215" s="8">
        <v>349</v>
      </c>
      <c r="N215" s="8">
        <v>349.67360000000002</v>
      </c>
      <c r="O215" s="16">
        <f t="shared" si="8"/>
        <v>1.9263679042399451E-3</v>
      </c>
    </row>
    <row r="216" spans="6:15" x14ac:dyDescent="0.3">
      <c r="F216" s="13"/>
      <c r="G216" s="8"/>
      <c r="L216" s="13" t="s">
        <v>64</v>
      </c>
      <c r="M216" s="8">
        <v>440</v>
      </c>
      <c r="N216" s="8">
        <v>439.8467</v>
      </c>
      <c r="O216" s="16">
        <f t="shared" si="8"/>
        <v>3.485305221113677E-4</v>
      </c>
    </row>
    <row r="217" spans="6:15" x14ac:dyDescent="0.3">
      <c r="F217" s="13"/>
      <c r="G217" s="8"/>
      <c r="L217" s="13" t="s">
        <v>67</v>
      </c>
      <c r="M217" s="8">
        <v>523</v>
      </c>
      <c r="N217" s="8">
        <v>523.56190000000004</v>
      </c>
      <c r="O217" s="16">
        <f t="shared" si="8"/>
        <v>1.0732255345548003E-3</v>
      </c>
    </row>
    <row r="218" spans="6:15" x14ac:dyDescent="0.3">
      <c r="F218" s="13"/>
      <c r="G218" s="8"/>
      <c r="L218" s="13" t="s">
        <v>72</v>
      </c>
      <c r="M218" s="8">
        <v>698</v>
      </c>
      <c r="N218" s="8">
        <v>698.11</v>
      </c>
      <c r="O218" s="16">
        <f t="shared" si="8"/>
        <v>1.5756829153001917E-4</v>
      </c>
    </row>
    <row r="219" spans="6:15" x14ac:dyDescent="0.3">
      <c r="F219" s="13"/>
      <c r="G219" s="8"/>
      <c r="L219" s="13" t="s">
        <v>85</v>
      </c>
      <c r="M219" s="8">
        <v>1479</v>
      </c>
      <c r="N219" s="8">
        <v>1479.4168999999999</v>
      </c>
      <c r="O219" s="16">
        <f t="shared" si="8"/>
        <v>2.8180021466561733E-4</v>
      </c>
    </row>
    <row r="220" spans="6:15" x14ac:dyDescent="0.3">
      <c r="F220" s="13"/>
      <c r="G220" s="8"/>
      <c r="L220" s="13" t="s">
        <v>90</v>
      </c>
      <c r="M220" s="8">
        <v>1975</v>
      </c>
      <c r="N220" s="8">
        <v>1973.9371000000001</v>
      </c>
      <c r="O220" s="16">
        <f t="shared" si="8"/>
        <v>5.384670058634633E-4</v>
      </c>
    </row>
    <row r="221" spans="6:15" ht="15" thickBot="1" x14ac:dyDescent="0.35">
      <c r="F221" s="13"/>
      <c r="G221" s="8"/>
      <c r="L221" s="13" t="s">
        <v>91</v>
      </c>
      <c r="M221" s="8">
        <v>2093</v>
      </c>
      <c r="N221" s="8">
        <v>2092.5965999999999</v>
      </c>
      <c r="O221" s="16">
        <f t="shared" si="8"/>
        <v>1.9277485206670164E-4</v>
      </c>
    </row>
    <row r="222" spans="6:15" ht="15" thickBot="1" x14ac:dyDescent="0.35">
      <c r="F222" s="32"/>
      <c r="G222" s="33"/>
      <c r="H222" s="34"/>
      <c r="I222" s="35"/>
      <c r="J222" s="36"/>
      <c r="L222" s="13" t="s">
        <v>98</v>
      </c>
      <c r="M222" s="8">
        <v>3135</v>
      </c>
      <c r="N222" s="8">
        <v>3132.8676999999998</v>
      </c>
      <c r="O222" s="16">
        <f t="shared" si="8"/>
        <v>6.806224214319645E-4</v>
      </c>
    </row>
    <row r="223" spans="6:15" ht="15" thickBot="1" x14ac:dyDescent="0.35">
      <c r="F223" s="11"/>
      <c r="G223" s="23"/>
      <c r="H223" s="1"/>
      <c r="I223" s="1"/>
      <c r="J223" s="2"/>
      <c r="L223" s="13" t="s">
        <v>99</v>
      </c>
      <c r="M223" s="8">
        <v>3322</v>
      </c>
      <c r="N223" s="8">
        <v>3113.6860999999999</v>
      </c>
      <c r="O223" s="16">
        <f t="shared" si="8"/>
        <v>6.6902665621945578E-2</v>
      </c>
    </row>
    <row r="224" spans="6:15" ht="15" thickBot="1" x14ac:dyDescent="0.35">
      <c r="F224" s="12"/>
      <c r="G224" s="24"/>
      <c r="H224" s="7"/>
      <c r="I224" s="27"/>
      <c r="J224" s="15"/>
      <c r="L224" s="13" t="s">
        <v>100</v>
      </c>
      <c r="M224" s="8">
        <v>3520</v>
      </c>
      <c r="N224" s="8">
        <v>2914.8395999999998</v>
      </c>
      <c r="O224" s="16">
        <f t="shared" si="8"/>
        <v>0.20761361963107694</v>
      </c>
    </row>
    <row r="225" spans="6:15" ht="15" thickBot="1" x14ac:dyDescent="0.35">
      <c r="F225" s="13"/>
      <c r="G225" s="25"/>
      <c r="H225" s="8"/>
      <c r="I225" s="25"/>
      <c r="J225" s="15"/>
      <c r="L225" s="13" t="s">
        <v>101</v>
      </c>
      <c r="M225" s="8">
        <v>3729</v>
      </c>
      <c r="N225" s="8">
        <v>2705.2995000000001</v>
      </c>
      <c r="O225" s="16">
        <f t="shared" si="8"/>
        <v>0.37840560721650229</v>
      </c>
    </row>
    <row r="226" spans="6:15" ht="15" thickBot="1" x14ac:dyDescent="0.35">
      <c r="F226" s="13"/>
      <c r="G226" s="25"/>
      <c r="H226" s="8"/>
      <c r="I226" s="28"/>
      <c r="J226" s="15"/>
      <c r="L226" s="13" t="s">
        <v>102</v>
      </c>
      <c r="M226" s="8">
        <v>3951</v>
      </c>
      <c r="N226" s="8">
        <v>2484.9124000000002</v>
      </c>
      <c r="O226" s="16">
        <f t="shared" si="8"/>
        <v>0.58999568757433862</v>
      </c>
    </row>
    <row r="227" spans="6:15" ht="15" thickBot="1" x14ac:dyDescent="0.35">
      <c r="F227" s="13"/>
      <c r="G227" s="24"/>
      <c r="H227" s="8"/>
      <c r="I227" s="28"/>
      <c r="J227" s="15"/>
      <c r="L227" s="14" t="s">
        <v>103</v>
      </c>
      <c r="M227" s="9">
        <v>4186</v>
      </c>
      <c r="N227" s="9">
        <v>2249.2669999999998</v>
      </c>
      <c r="O227" s="31">
        <f t="shared" si="8"/>
        <v>0.86105073341670879</v>
      </c>
    </row>
    <row r="228" spans="6:15" ht="15" thickBot="1" x14ac:dyDescent="0.35">
      <c r="F228" s="13"/>
      <c r="G228" s="25"/>
      <c r="H228" s="8"/>
      <c r="I228" s="25"/>
      <c r="J228" s="15"/>
    </row>
    <row r="229" spans="6:15" ht="15" thickBot="1" x14ac:dyDescent="0.35">
      <c r="F229" s="13"/>
      <c r="G229" s="25"/>
      <c r="H229" s="8"/>
      <c r="I229" s="25"/>
      <c r="J229" s="15"/>
    </row>
    <row r="230" spans="6:15" ht="15" thickBot="1" x14ac:dyDescent="0.35">
      <c r="F230" s="13"/>
      <c r="G230" s="25"/>
      <c r="H230" s="8"/>
      <c r="I230" s="25"/>
      <c r="J230" s="15"/>
    </row>
    <row r="231" spans="6:15" ht="15" thickBot="1" x14ac:dyDescent="0.35">
      <c r="F231" s="13"/>
      <c r="G231" s="25"/>
      <c r="H231" s="8"/>
      <c r="I231" s="25"/>
      <c r="J231" s="15"/>
    </row>
    <row r="232" spans="6:15" ht="15" thickBot="1" x14ac:dyDescent="0.35">
      <c r="F232" s="13"/>
      <c r="G232" s="25"/>
      <c r="H232" s="30"/>
      <c r="I232" s="25"/>
      <c r="J232" s="15"/>
    </row>
    <row r="233" spans="6:15" ht="15" thickBot="1" x14ac:dyDescent="0.35">
      <c r="F233" s="13"/>
      <c r="G233" s="25"/>
      <c r="H233" s="8"/>
      <c r="I233" s="25"/>
      <c r="J233" s="15"/>
    </row>
    <row r="234" spans="6:15" ht="15" thickBot="1" x14ac:dyDescent="0.35">
      <c r="F234" s="13"/>
      <c r="G234" s="25"/>
      <c r="H234" s="8"/>
      <c r="I234" s="25"/>
      <c r="J234" s="15"/>
    </row>
    <row r="235" spans="6:15" ht="15" thickBot="1" x14ac:dyDescent="0.35">
      <c r="F235" s="13"/>
      <c r="G235" s="24"/>
      <c r="H235" s="8"/>
      <c r="I235" s="24"/>
      <c r="J235" s="15"/>
    </row>
    <row r="236" spans="6:15" ht="15" thickBot="1" x14ac:dyDescent="0.35">
      <c r="F236" s="13"/>
      <c r="G236" s="25"/>
      <c r="H236" s="8"/>
      <c r="I236" s="25"/>
      <c r="J236" s="15"/>
    </row>
    <row r="237" spans="6:15" ht="15" thickBot="1" x14ac:dyDescent="0.35">
      <c r="F237" s="13"/>
      <c r="G237" s="25"/>
      <c r="H237" s="8"/>
      <c r="I237" s="25"/>
      <c r="J237" s="15"/>
    </row>
    <row r="238" spans="6:15" ht="15" thickBot="1" x14ac:dyDescent="0.35">
      <c r="F238" s="13"/>
      <c r="G238" s="25"/>
      <c r="H238" s="8"/>
      <c r="I238" s="25"/>
      <c r="J238" s="15"/>
    </row>
    <row r="239" spans="6:15" ht="15" thickBot="1" x14ac:dyDescent="0.35">
      <c r="F239" s="13"/>
      <c r="G239" s="25"/>
      <c r="H239" s="8"/>
      <c r="I239" s="25"/>
      <c r="J239" s="15"/>
    </row>
    <row r="240" spans="6:15" ht="15" thickBot="1" x14ac:dyDescent="0.35">
      <c r="F240" s="13"/>
      <c r="G240" s="25"/>
      <c r="H240" s="8"/>
      <c r="I240" s="28"/>
      <c r="J240" s="15"/>
    </row>
    <row r="241" spans="6:10" ht="15" thickBot="1" x14ac:dyDescent="0.35">
      <c r="F241" s="13"/>
      <c r="G241" s="25"/>
      <c r="H241" s="8"/>
      <c r="I241" s="25"/>
      <c r="J241" s="15"/>
    </row>
    <row r="242" spans="6:10" ht="15" thickBot="1" x14ac:dyDescent="0.35">
      <c r="F242" s="13"/>
      <c r="G242" s="25"/>
      <c r="H242" s="8"/>
      <c r="I242" s="28"/>
      <c r="J242" s="15"/>
    </row>
    <row r="243" spans="6:10" ht="15" thickBot="1" x14ac:dyDescent="0.35">
      <c r="F243" s="13"/>
      <c r="G243" s="25"/>
      <c r="H243" s="8"/>
      <c r="I243" s="25"/>
      <c r="J243" s="15"/>
    </row>
    <row r="244" spans="6:10" ht="15" thickBot="1" x14ac:dyDescent="0.35">
      <c r="F244" s="13"/>
      <c r="G244" s="25"/>
      <c r="H244" s="8"/>
      <c r="I244" s="28"/>
      <c r="J244" s="15"/>
    </row>
    <row r="245" spans="6:10" ht="15" thickBot="1" x14ac:dyDescent="0.35">
      <c r="F245" s="13"/>
      <c r="G245" s="25"/>
      <c r="H245" s="8"/>
      <c r="I245" s="25"/>
      <c r="J245" s="15"/>
    </row>
    <row r="246" spans="6:10" ht="15" thickBot="1" x14ac:dyDescent="0.35">
      <c r="F246" s="13"/>
      <c r="G246" s="25"/>
      <c r="H246" s="8"/>
      <c r="I246" s="28"/>
      <c r="J246" s="15"/>
    </row>
    <row r="247" spans="6:10" ht="15" thickBot="1" x14ac:dyDescent="0.35">
      <c r="F247" s="13"/>
      <c r="G247" s="25"/>
      <c r="H247" s="8"/>
      <c r="I247" s="28"/>
      <c r="J247" s="15"/>
    </row>
    <row r="248" spans="6:10" ht="15" thickBot="1" x14ac:dyDescent="0.35">
      <c r="F248" s="13"/>
      <c r="G248" s="24"/>
      <c r="H248" s="8"/>
      <c r="I248" s="24"/>
      <c r="J248" s="15"/>
    </row>
    <row r="249" spans="6:10" ht="15" thickBot="1" x14ac:dyDescent="0.35">
      <c r="F249" s="13"/>
      <c r="G249" s="25"/>
      <c r="H249" s="8"/>
      <c r="I249" s="25"/>
      <c r="J249" s="15"/>
    </row>
    <row r="250" spans="6:10" ht="15" thickBot="1" x14ac:dyDescent="0.35">
      <c r="F250" s="13"/>
      <c r="G250" s="25"/>
      <c r="H250" s="8"/>
      <c r="I250" s="25"/>
      <c r="J250" s="15"/>
    </row>
    <row r="251" spans="6:10" ht="15" thickBot="1" x14ac:dyDescent="0.35">
      <c r="F251" s="13"/>
      <c r="G251" s="25"/>
      <c r="H251" s="8"/>
      <c r="I251" s="25"/>
      <c r="J251" s="15"/>
    </row>
    <row r="252" spans="6:10" ht="15" thickBot="1" x14ac:dyDescent="0.35">
      <c r="F252" s="13"/>
      <c r="G252" s="25"/>
      <c r="H252" s="8"/>
      <c r="I252" s="25"/>
      <c r="J252" s="15"/>
    </row>
    <row r="253" spans="6:10" ht="15" thickBot="1" x14ac:dyDescent="0.35">
      <c r="F253" s="13"/>
      <c r="G253" s="25"/>
      <c r="H253" s="8"/>
      <c r="I253" s="25"/>
      <c r="J253" s="15"/>
    </row>
    <row r="254" spans="6:10" ht="15" thickBot="1" x14ac:dyDescent="0.35">
      <c r="F254" s="13"/>
      <c r="G254" s="25"/>
      <c r="H254" s="8"/>
      <c r="I254" s="28"/>
      <c r="J254" s="15"/>
    </row>
    <row r="255" spans="6:10" ht="15" thickBot="1" x14ac:dyDescent="0.35">
      <c r="F255" s="13"/>
      <c r="G255" s="25"/>
      <c r="H255" s="8"/>
      <c r="I255" s="25"/>
      <c r="J255" s="15"/>
    </row>
    <row r="256" spans="6:10" ht="15" thickBot="1" x14ac:dyDescent="0.35">
      <c r="F256" s="13"/>
      <c r="G256" s="25"/>
      <c r="H256" s="8"/>
      <c r="I256" s="25"/>
      <c r="J256" s="15"/>
    </row>
    <row r="257" spans="6:10" ht="15" thickBot="1" x14ac:dyDescent="0.35">
      <c r="F257" s="13"/>
      <c r="G257" s="25"/>
      <c r="H257" s="8"/>
      <c r="I257" s="25"/>
      <c r="J257" s="15"/>
    </row>
    <row r="258" spans="6:10" ht="15" thickBot="1" x14ac:dyDescent="0.35">
      <c r="F258" s="13"/>
      <c r="G258" s="25"/>
      <c r="H258" s="8"/>
      <c r="I258" s="25"/>
      <c r="J258" s="15"/>
    </row>
    <row r="259" spans="6:10" ht="15" thickBot="1" x14ac:dyDescent="0.35">
      <c r="F259" s="13"/>
      <c r="G259" s="25"/>
      <c r="H259" s="8"/>
      <c r="I259" s="28"/>
      <c r="J259" s="15"/>
    </row>
    <row r="260" spans="6:10" ht="15" thickBot="1" x14ac:dyDescent="0.35">
      <c r="F260" s="13"/>
      <c r="G260" s="25"/>
      <c r="H260" s="8"/>
      <c r="I260" s="25"/>
      <c r="J260" s="15"/>
    </row>
    <row r="261" spans="6:10" ht="15" thickBot="1" x14ac:dyDescent="0.35">
      <c r="F261" s="14"/>
      <c r="G261" s="26"/>
      <c r="H261" s="9"/>
      <c r="I261" s="29"/>
      <c r="J261" s="15"/>
    </row>
    <row r="262" spans="6:10" x14ac:dyDescent="0.3">
      <c r="H262" s="20"/>
      <c r="I262" s="20"/>
      <c r="J262" s="22"/>
    </row>
    <row r="263" spans="6:10" x14ac:dyDescent="0.3">
      <c r="H263" s="20"/>
      <c r="I263" s="20"/>
      <c r="J263" s="21"/>
    </row>
  </sheetData>
  <mergeCells count="5">
    <mergeCell ref="F2:J2"/>
    <mergeCell ref="L2:P2"/>
    <mergeCell ref="F93:J93"/>
    <mergeCell ref="L93:P93"/>
    <mergeCell ref="F222:J2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7AE8-2B2F-44D7-B45F-976792027D89}">
  <dimension ref="F5:J44"/>
  <sheetViews>
    <sheetView workbookViewId="0">
      <selection activeCell="I4" sqref="I4"/>
    </sheetView>
  </sheetViews>
  <sheetFormatPr defaultRowHeight="14.4" x14ac:dyDescent="0.3"/>
  <cols>
    <col min="6" max="6" width="22.33203125" customWidth="1"/>
    <col min="7" max="7" width="19" customWidth="1"/>
    <col min="8" max="8" width="27.21875" customWidth="1"/>
    <col min="9" max="9" width="17.88671875" customWidth="1"/>
    <col min="10" max="10" width="45.21875" customWidth="1"/>
  </cols>
  <sheetData>
    <row r="5" spans="6:10" ht="15" thickBot="1" x14ac:dyDescent="0.35"/>
    <row r="6" spans="6:10" ht="15" thickBot="1" x14ac:dyDescent="0.35">
      <c r="F6" s="32" t="s">
        <v>15</v>
      </c>
      <c r="G6" s="33"/>
      <c r="H6" s="34"/>
      <c r="I6" s="35"/>
      <c r="J6" s="36"/>
    </row>
    <row r="7" spans="6:10" ht="15" thickBot="1" x14ac:dyDescent="0.35">
      <c r="F7" s="11" t="s">
        <v>9</v>
      </c>
      <c r="G7" s="23" t="s">
        <v>18</v>
      </c>
      <c r="H7" s="1" t="s">
        <v>7</v>
      </c>
      <c r="I7" s="1" t="s">
        <v>104</v>
      </c>
      <c r="J7" s="2" t="s">
        <v>107</v>
      </c>
    </row>
    <row r="8" spans="6:10" ht="15" thickBot="1" x14ac:dyDescent="0.35">
      <c r="F8" s="13">
        <v>82</v>
      </c>
      <c r="G8" s="25" t="s">
        <v>35</v>
      </c>
      <c r="H8" s="8"/>
      <c r="I8" s="25"/>
      <c r="J8" s="15" t="e">
        <f t="shared" ref="J8:J44" si="0">ABS(1 -(F8/H8))</f>
        <v>#DIV/0!</v>
      </c>
    </row>
    <row r="9" spans="6:10" ht="15" thickBot="1" x14ac:dyDescent="0.35">
      <c r="F9" s="13">
        <v>87</v>
      </c>
      <c r="G9" s="25" t="s">
        <v>36</v>
      </c>
      <c r="H9" s="8"/>
      <c r="I9" s="25"/>
      <c r="J9" s="15" t="e">
        <f t="shared" si="0"/>
        <v>#DIV/0!</v>
      </c>
    </row>
    <row r="10" spans="6:10" ht="15" thickBot="1" x14ac:dyDescent="0.35">
      <c r="F10" s="13">
        <v>92</v>
      </c>
      <c r="G10" s="25" t="s">
        <v>37</v>
      </c>
      <c r="H10" s="8"/>
      <c r="I10" s="25"/>
      <c r="J10" s="15" t="e">
        <f t="shared" si="0"/>
        <v>#DIV/0!</v>
      </c>
    </row>
    <row r="11" spans="6:10" ht="15" thickBot="1" x14ac:dyDescent="0.35">
      <c r="F11" s="13">
        <v>98</v>
      </c>
      <c r="G11" s="25" t="s">
        <v>38</v>
      </c>
      <c r="H11" s="8"/>
      <c r="I11" s="25"/>
      <c r="J11" s="15" t="e">
        <f t="shared" si="0"/>
        <v>#DIV/0!</v>
      </c>
    </row>
    <row r="12" spans="6:10" ht="15" thickBot="1" x14ac:dyDescent="0.35">
      <c r="F12" s="13">
        <v>103</v>
      </c>
      <c r="G12" s="25" t="s">
        <v>39</v>
      </c>
      <c r="H12" s="8"/>
      <c r="I12" s="25"/>
      <c r="J12" s="15" t="e">
        <f t="shared" si="0"/>
        <v>#DIV/0!</v>
      </c>
    </row>
    <row r="13" spans="6:10" ht="15" thickBot="1" x14ac:dyDescent="0.35">
      <c r="F13" s="13">
        <v>110</v>
      </c>
      <c r="G13" s="25" t="s">
        <v>40</v>
      </c>
      <c r="H13" s="8"/>
      <c r="I13" s="25"/>
      <c r="J13" s="15" t="e">
        <f t="shared" si="0"/>
        <v>#DIV/0!</v>
      </c>
    </row>
    <row r="14" spans="6:10" ht="15" thickBot="1" x14ac:dyDescent="0.35">
      <c r="F14" s="13">
        <v>116</v>
      </c>
      <c r="G14" s="25" t="s">
        <v>41</v>
      </c>
      <c r="H14" s="8"/>
      <c r="I14" s="25"/>
      <c r="J14" s="15" t="e">
        <f t="shared" si="0"/>
        <v>#DIV/0!</v>
      </c>
    </row>
    <row r="15" spans="6:10" ht="15" thickBot="1" x14ac:dyDescent="0.35">
      <c r="F15" s="13">
        <v>123</v>
      </c>
      <c r="G15" s="25" t="s">
        <v>42</v>
      </c>
      <c r="H15" s="8"/>
      <c r="I15" s="25"/>
      <c r="J15" s="15" t="e">
        <f t="shared" si="0"/>
        <v>#DIV/0!</v>
      </c>
    </row>
    <row r="16" spans="6:10" ht="15" thickBot="1" x14ac:dyDescent="0.35">
      <c r="F16" s="13">
        <v>130</v>
      </c>
      <c r="G16" s="24" t="s">
        <v>43</v>
      </c>
      <c r="H16" s="8"/>
      <c r="I16" s="24"/>
      <c r="J16" s="15" t="e">
        <f t="shared" si="0"/>
        <v>#DIV/0!</v>
      </c>
    </row>
    <row r="17" spans="6:10" ht="15" thickBot="1" x14ac:dyDescent="0.35">
      <c r="F17" s="13">
        <v>138</v>
      </c>
      <c r="G17" s="25" t="s">
        <v>44</v>
      </c>
      <c r="H17" s="8"/>
      <c r="I17" s="25"/>
      <c r="J17" s="15" t="e">
        <f t="shared" si="0"/>
        <v>#DIV/0!</v>
      </c>
    </row>
    <row r="18" spans="6:10" ht="15" thickBot="1" x14ac:dyDescent="0.35">
      <c r="F18" s="13">
        <v>146</v>
      </c>
      <c r="G18" s="25" t="s">
        <v>45</v>
      </c>
      <c r="H18" s="8"/>
      <c r="I18" s="25"/>
      <c r="J18" s="15" t="e">
        <f t="shared" si="0"/>
        <v>#DIV/0!</v>
      </c>
    </row>
    <row r="19" spans="6:10" ht="15" thickBot="1" x14ac:dyDescent="0.35">
      <c r="F19" s="13">
        <v>155</v>
      </c>
      <c r="G19" s="25" t="s">
        <v>46</v>
      </c>
      <c r="H19" s="8"/>
      <c r="I19" s="25"/>
      <c r="J19" s="15" t="e">
        <f t="shared" si="0"/>
        <v>#DIV/0!</v>
      </c>
    </row>
    <row r="20" spans="6:10" ht="15" thickBot="1" x14ac:dyDescent="0.35">
      <c r="F20" s="13">
        <v>164</v>
      </c>
      <c r="G20" s="25" t="s">
        <v>47</v>
      </c>
      <c r="H20" s="8"/>
      <c r="I20" s="25"/>
      <c r="J20" s="15" t="e">
        <f t="shared" si="0"/>
        <v>#DIV/0!</v>
      </c>
    </row>
    <row r="21" spans="6:10" ht="15" thickBot="1" x14ac:dyDescent="0.35">
      <c r="F21" s="13">
        <v>174</v>
      </c>
      <c r="G21" s="25" t="s">
        <v>48</v>
      </c>
      <c r="H21" s="8"/>
      <c r="I21" s="25"/>
      <c r="J21" s="15" t="e">
        <f t="shared" si="0"/>
        <v>#DIV/0!</v>
      </c>
    </row>
    <row r="22" spans="6:10" ht="15" thickBot="1" x14ac:dyDescent="0.35">
      <c r="F22" s="13">
        <v>185</v>
      </c>
      <c r="G22" s="25" t="s">
        <v>49</v>
      </c>
      <c r="H22" s="8"/>
      <c r="I22" s="25"/>
      <c r="J22" s="15" t="e">
        <f t="shared" si="0"/>
        <v>#DIV/0!</v>
      </c>
    </row>
    <row r="23" spans="6:10" ht="15" thickBot="1" x14ac:dyDescent="0.35">
      <c r="F23" s="13">
        <v>196</v>
      </c>
      <c r="G23" s="25" t="s">
        <v>50</v>
      </c>
      <c r="H23" s="8"/>
      <c r="I23" s="25"/>
      <c r="J23" s="15" t="e">
        <f t="shared" si="0"/>
        <v>#DIV/0!</v>
      </c>
    </row>
    <row r="24" spans="6:10" ht="15" thickBot="1" x14ac:dyDescent="0.35">
      <c r="F24" s="13">
        <v>207</v>
      </c>
      <c r="G24" s="25" t="s">
        <v>51</v>
      </c>
      <c r="H24" s="8"/>
      <c r="I24" s="25"/>
      <c r="J24" s="15" t="e">
        <f t="shared" si="0"/>
        <v>#DIV/0!</v>
      </c>
    </row>
    <row r="25" spans="6:10" ht="15" thickBot="1" x14ac:dyDescent="0.35">
      <c r="F25" s="13">
        <v>220</v>
      </c>
      <c r="G25" s="25" t="s">
        <v>52</v>
      </c>
      <c r="H25" s="8"/>
      <c r="I25" s="25"/>
      <c r="J25" s="15" t="e">
        <f t="shared" si="0"/>
        <v>#DIV/0!</v>
      </c>
    </row>
    <row r="26" spans="6:10" ht="15" thickBot="1" x14ac:dyDescent="0.35">
      <c r="F26" s="13">
        <v>233</v>
      </c>
      <c r="G26" s="25" t="s">
        <v>53</v>
      </c>
      <c r="H26" s="8"/>
      <c r="I26" s="25"/>
      <c r="J26" s="15" t="e">
        <f t="shared" si="0"/>
        <v>#DIV/0!</v>
      </c>
    </row>
    <row r="27" spans="6:10" ht="15" thickBot="1" x14ac:dyDescent="0.35">
      <c r="F27" s="13">
        <v>246</v>
      </c>
      <c r="G27" s="25" t="s">
        <v>54</v>
      </c>
      <c r="H27" s="8"/>
      <c r="I27" s="25"/>
      <c r="J27" s="15" t="e">
        <f t="shared" si="0"/>
        <v>#DIV/0!</v>
      </c>
    </row>
    <row r="28" spans="6:10" ht="15" thickBot="1" x14ac:dyDescent="0.35">
      <c r="F28" s="13">
        <v>261</v>
      </c>
      <c r="G28" s="24" t="s">
        <v>55</v>
      </c>
      <c r="H28" s="8"/>
      <c r="I28" s="24"/>
      <c r="J28" s="15" t="e">
        <f t="shared" si="0"/>
        <v>#DIV/0!</v>
      </c>
    </row>
    <row r="29" spans="6:10" ht="15" thickBot="1" x14ac:dyDescent="0.35">
      <c r="F29" s="13">
        <v>277</v>
      </c>
      <c r="G29" s="25" t="s">
        <v>56</v>
      </c>
      <c r="H29" s="8"/>
      <c r="I29" s="25"/>
      <c r="J29" s="15" t="e">
        <f t="shared" si="0"/>
        <v>#DIV/0!</v>
      </c>
    </row>
    <row r="30" spans="6:10" ht="15" thickBot="1" x14ac:dyDescent="0.35">
      <c r="F30" s="13">
        <v>293</v>
      </c>
      <c r="G30" s="25" t="s">
        <v>57</v>
      </c>
      <c r="H30" s="8"/>
      <c r="I30" s="25"/>
      <c r="J30" s="15" t="e">
        <f t="shared" si="0"/>
        <v>#DIV/0!</v>
      </c>
    </row>
    <row r="31" spans="6:10" ht="15" thickBot="1" x14ac:dyDescent="0.35">
      <c r="F31" s="13">
        <v>311</v>
      </c>
      <c r="G31" s="25" t="s">
        <v>58</v>
      </c>
      <c r="H31" s="8"/>
      <c r="I31" s="25"/>
      <c r="J31" s="15" t="e">
        <f t="shared" si="0"/>
        <v>#DIV/0!</v>
      </c>
    </row>
    <row r="32" spans="6:10" ht="15" thickBot="1" x14ac:dyDescent="0.35">
      <c r="F32" s="13">
        <v>329</v>
      </c>
      <c r="G32" s="25" t="s">
        <v>59</v>
      </c>
      <c r="H32" s="8"/>
      <c r="I32" s="25"/>
      <c r="J32" s="15" t="e">
        <f t="shared" si="0"/>
        <v>#DIV/0!</v>
      </c>
    </row>
    <row r="33" spans="6:10" ht="15" thickBot="1" x14ac:dyDescent="0.35">
      <c r="F33" s="13">
        <v>349</v>
      </c>
      <c r="G33" s="25" t="s">
        <v>60</v>
      </c>
      <c r="H33" s="8"/>
      <c r="I33" s="28"/>
      <c r="J33" s="15" t="e">
        <f t="shared" si="0"/>
        <v>#DIV/0!</v>
      </c>
    </row>
    <row r="34" spans="6:10" ht="15" thickBot="1" x14ac:dyDescent="0.35">
      <c r="F34" s="13">
        <v>369</v>
      </c>
      <c r="G34" s="25" t="s">
        <v>61</v>
      </c>
      <c r="H34" s="8"/>
      <c r="I34" s="25"/>
      <c r="J34" s="15" t="e">
        <f t="shared" si="0"/>
        <v>#DIV/0!</v>
      </c>
    </row>
    <row r="35" spans="6:10" ht="15" thickBot="1" x14ac:dyDescent="0.35">
      <c r="F35" s="13">
        <v>392</v>
      </c>
      <c r="G35" s="25" t="s">
        <v>62</v>
      </c>
      <c r="H35" s="8"/>
      <c r="I35" s="28"/>
      <c r="J35" s="15" t="e">
        <f t="shared" si="0"/>
        <v>#DIV/0!</v>
      </c>
    </row>
    <row r="36" spans="6:10" ht="15" thickBot="1" x14ac:dyDescent="0.35">
      <c r="F36" s="13">
        <v>415</v>
      </c>
      <c r="G36" s="25" t="s">
        <v>63</v>
      </c>
      <c r="H36" s="8"/>
      <c r="I36" s="25"/>
      <c r="J36" s="15" t="e">
        <f t="shared" si="0"/>
        <v>#DIV/0!</v>
      </c>
    </row>
    <row r="37" spans="6:10" ht="15" thickBot="1" x14ac:dyDescent="0.35">
      <c r="F37" s="13">
        <v>440</v>
      </c>
      <c r="G37" s="25" t="s">
        <v>64</v>
      </c>
      <c r="H37" s="8"/>
      <c r="I37" s="28"/>
      <c r="J37" s="15" t="e">
        <f t="shared" si="0"/>
        <v>#DIV/0!</v>
      </c>
    </row>
    <row r="38" spans="6:10" ht="15" thickBot="1" x14ac:dyDescent="0.35">
      <c r="F38" s="13">
        <v>466</v>
      </c>
      <c r="G38" s="25" t="s">
        <v>65</v>
      </c>
      <c r="H38" s="8"/>
      <c r="I38" s="25"/>
      <c r="J38" s="15" t="e">
        <f t="shared" si="0"/>
        <v>#DIV/0!</v>
      </c>
    </row>
    <row r="39" spans="6:10" ht="15" thickBot="1" x14ac:dyDescent="0.35">
      <c r="F39" s="13">
        <v>493</v>
      </c>
      <c r="G39" s="25" t="s">
        <v>66</v>
      </c>
      <c r="H39" s="8"/>
      <c r="I39" s="25"/>
      <c r="J39" s="15" t="e">
        <f t="shared" si="0"/>
        <v>#DIV/0!</v>
      </c>
    </row>
    <row r="40" spans="6:10" ht="15" thickBot="1" x14ac:dyDescent="0.35">
      <c r="F40" s="13">
        <v>523</v>
      </c>
      <c r="G40" s="24" t="s">
        <v>67</v>
      </c>
      <c r="H40" s="8"/>
      <c r="I40" s="24"/>
      <c r="J40" s="15" t="e">
        <f t="shared" si="0"/>
        <v>#DIV/0!</v>
      </c>
    </row>
    <row r="41" spans="6:10" ht="15" thickBot="1" x14ac:dyDescent="0.35">
      <c r="F41" s="13">
        <v>554</v>
      </c>
      <c r="G41" s="25" t="s">
        <v>68</v>
      </c>
      <c r="H41" s="8"/>
      <c r="I41" s="25"/>
      <c r="J41" s="15" t="e">
        <f t="shared" si="0"/>
        <v>#DIV/0!</v>
      </c>
    </row>
    <row r="42" spans="6:10" ht="15" thickBot="1" x14ac:dyDescent="0.35">
      <c r="F42" s="13">
        <v>587</v>
      </c>
      <c r="G42" s="25" t="s">
        <v>69</v>
      </c>
      <c r="H42" s="8"/>
      <c r="I42" s="25"/>
      <c r="J42" s="15" t="e">
        <f t="shared" si="0"/>
        <v>#DIV/0!</v>
      </c>
    </row>
    <row r="43" spans="6:10" ht="15" thickBot="1" x14ac:dyDescent="0.35">
      <c r="F43" s="13">
        <v>622</v>
      </c>
      <c r="G43" s="25" t="s">
        <v>70</v>
      </c>
      <c r="H43" s="8"/>
      <c r="I43" s="25"/>
      <c r="J43" s="15" t="e">
        <f t="shared" si="0"/>
        <v>#DIV/0!</v>
      </c>
    </row>
    <row r="44" spans="6:10" x14ac:dyDescent="0.3">
      <c r="F44" s="13">
        <v>659</v>
      </c>
      <c r="G44" s="25" t="s">
        <v>71</v>
      </c>
      <c r="H44" s="8"/>
      <c r="I44" s="25"/>
      <c r="J44" s="15" t="e">
        <f t="shared" si="0"/>
        <v>#DIV/0!</v>
      </c>
    </row>
  </sheetData>
  <mergeCells count="1"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Without-adjustment-multiplier</vt:lpstr>
      <vt:lpstr>With-adjustment-multiplier</vt:lpstr>
      <vt:lpstr>Piezo-Electric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Laufenberg</cp:lastModifiedBy>
  <dcterms:created xsi:type="dcterms:W3CDTF">2015-06-05T18:17:20Z</dcterms:created>
  <dcterms:modified xsi:type="dcterms:W3CDTF">2026-05-08T03:37:47Z</dcterms:modified>
</cp:coreProperties>
</file>